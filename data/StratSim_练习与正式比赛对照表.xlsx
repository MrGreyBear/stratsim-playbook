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正式比赛打法" sheetId="1" state="visible" r:id="rId3"/>
    <sheet name="每年做了什么" sheetId="2" state="visible" r:id="rId4"/>
    <sheet name="每年的结果" sheetId="3" state="visible" r:id="rId5"/>
    <sheet name="正式Y1复盘" sheetId="4" state="visible" r:id="rId6"/>
    <sheet name="正式Y2复盘" sheetId="5" state="visible" r:id="rId7"/>
    <sheet name="正式Y3复盘" sheetId="6" state="visible" r:id="rId8"/>
    <sheet name="正式Y4复盘" sheetId="7" state="visible" r:id="rId9"/>
    <sheet name="结论总表" sheetId="8" state="visible" r:id="rId10"/>
    <sheet name="操作流程" sheetId="9" state="visible" r:id="rId11"/>
    <sheet name="Skill和测试工具" sheetId="10" state="visible" r:id="rId12"/>
    <sheet name="Y5补充测试" sheetId="11" state="visible" r:id="rId13"/>
    <sheet name="正式比赛变数记录" sheetId="12" state="visible" r:id="rId14"/>
    <sheet name="更新记录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<sst xmlns="http://schemas.openxmlformats.org/spreadsheetml/2006/main" count="2740" uniqueCount="1688">
  <si>
    <r>
      <rPr>
        <b val="true"/>
        <sz val="14"/>
        <rFont val="Linux Libertine G"/>
        <family val="2"/>
      </rPr>
      <t xml:space="preserve">正式比赛打法（</t>
    </r>
    <r>
      <rPr>
        <b val="true"/>
        <sz val="14"/>
        <rFont val="Linux Libertine G"/>
        <family val="2"/>
        <charset val="1"/>
      </rPr>
      <t xml:space="preserve">Decision 1 </t>
    </r>
    <r>
      <rPr>
        <b val="true"/>
        <sz val="14"/>
        <rFont val="Linux Libertine G"/>
        <family val="2"/>
      </rPr>
      <t xml:space="preserve">截止 </t>
    </r>
    <r>
      <rPr>
        <b val="true"/>
        <sz val="14"/>
        <rFont val="Linux Libertine G"/>
        <family val="2"/>
        <charset val="1"/>
      </rPr>
      <t xml:space="preserve">10/14</t>
    </r>
    <r>
      <rPr>
        <b val="true"/>
        <sz val="14"/>
        <rFont val="Linux Libertine G"/>
        <family val="2"/>
      </rPr>
      <t xml:space="preserve">；</t>
    </r>
    <r>
      <rPr>
        <b val="true"/>
        <sz val="14"/>
        <rFont val="Linux Libertine G"/>
        <family val="2"/>
        <charset val="1"/>
      </rPr>
      <t xml:space="preserve">D </t>
    </r>
    <r>
      <rPr>
        <b val="true"/>
        <sz val="14"/>
        <rFont val="Linux Libertine G"/>
        <family val="2"/>
      </rPr>
      <t xml:space="preserve">列是 </t>
    </r>
    <r>
      <rPr>
        <b val="true"/>
        <sz val="14"/>
        <rFont val="Linux Libertine G"/>
        <family val="2"/>
        <charset val="1"/>
      </rPr>
      <t xml:space="preserve">10/11 </t>
    </r>
    <r>
      <rPr>
        <b val="true"/>
        <sz val="14"/>
        <rFont val="Linux Libertine G"/>
        <family val="2"/>
      </rPr>
      <t xml:space="preserve">实际保存的决策）</t>
    </r>
  </si>
  <si>
    <r>
      <rPr>
        <i val="true"/>
        <sz val="11"/>
        <color rgb="FF595959"/>
        <rFont val="Linux Libertine G"/>
        <family val="2"/>
      </rPr>
      <t xml:space="preserve">正式比赛从 </t>
    </r>
    <r>
      <rPr>
        <i val="true"/>
        <sz val="11"/>
        <color rgb="FF595959"/>
        <rFont val="Linux Libertine G"/>
        <family val="2"/>
        <charset val="1"/>
      </rPr>
      <t xml:space="preserve">Start </t>
    </r>
    <r>
      <rPr>
        <i val="true"/>
        <sz val="11"/>
        <color rgb="FF595959"/>
        <rFont val="Linux Libertine G"/>
        <family val="2"/>
      </rPr>
      <t xml:space="preserve">重新开始，起点和练习轮一样：</t>
    </r>
    <r>
      <rPr>
        <i val="true"/>
        <sz val="11"/>
        <color rgb="FF595959"/>
        <rFont val="Linux Libertine G"/>
        <family val="2"/>
        <charset val="1"/>
      </rPr>
      <t xml:space="preserve">Cafav 28/145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Cameo 12/120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Crash 70/190</t>
    </r>
    <r>
      <rPr>
        <i val="true"/>
        <sz val="11"/>
        <color rgb="FF595959"/>
        <rFont val="Linux Libertine G"/>
        <family val="2"/>
      </rPr>
      <t xml:space="preserve">，产能 </t>
    </r>
    <r>
      <rPr>
        <i val="true"/>
        <sz val="11"/>
        <color rgb="FF595959"/>
        <rFont val="Linux Libertine G"/>
        <family val="2"/>
        <charset val="1"/>
      </rPr>
      <t xml:space="preserve">1,000K</t>
    </r>
    <r>
      <rPr>
        <i val="true"/>
        <sz val="11"/>
        <color rgb="FF595959"/>
        <rFont val="Linux Libertine G"/>
        <family val="2"/>
      </rPr>
      <t xml:space="preserve">，</t>
    </r>
    <r>
      <rPr>
        <i val="true"/>
        <sz val="11"/>
        <color rgb="FF595959"/>
        <rFont val="Linux Libertine G"/>
        <family val="2"/>
        <charset val="1"/>
      </rPr>
      <t xml:space="preserve">2 </t>
    </r>
    <r>
      <rPr>
        <i val="true"/>
        <sz val="11"/>
        <color rgb="FF595959"/>
        <rFont val="Linux Libertine G"/>
        <family val="2"/>
      </rPr>
      <t xml:space="preserve">个研发中心，短贷 </t>
    </r>
    <r>
      <rPr>
        <i val="true"/>
        <sz val="11"/>
        <color rgb="FF595959"/>
        <rFont val="Linux Libertine G"/>
        <family val="2"/>
        <charset val="1"/>
      </rPr>
      <t xml:space="preserve">$6,660M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Linux Libertine G"/>
        <family val="2"/>
        <charset val="1"/>
      </rPr>
      <t xml:space="preserve">7.5%</t>
    </r>
    <r>
      <rPr>
        <i val="true"/>
        <sz val="11"/>
        <color rgb="FF595959"/>
        <rFont val="Linux Libertine G"/>
        <family val="2"/>
      </rPr>
      <t xml:space="preserve">），市值约 </t>
    </r>
    <r>
      <rPr>
        <i val="true"/>
        <sz val="11"/>
        <color rgb="FF595959"/>
        <rFont val="Linux Libertine G"/>
        <family val="2"/>
        <charset val="1"/>
      </rPr>
      <t xml:space="preserve">$17.6B</t>
    </r>
    <r>
      <rPr>
        <i val="true"/>
        <sz val="11"/>
        <color rgb="FF595959"/>
        <rFont val="Linux Libertine G"/>
        <family val="2"/>
      </rPr>
      <t xml:space="preserve">。标 </t>
    </r>
    <r>
      <rPr>
        <i val="true"/>
        <sz val="11"/>
        <color rgb="FF595959"/>
        <rFont val="Linux Libertine G"/>
        <family val="2"/>
        <charset val="1"/>
      </rPr>
      <t xml:space="preserve">[</t>
    </r>
    <r>
      <rPr>
        <i val="true"/>
        <sz val="11"/>
        <color rgb="FF595959"/>
        <rFont val="Linux Libertine G"/>
        <family val="2"/>
      </rPr>
      <t xml:space="preserve">推断</t>
    </r>
    <r>
      <rPr>
        <i val="true"/>
        <sz val="11"/>
        <color rgb="FF595959"/>
        <rFont val="Linux Libertine G"/>
        <family val="2"/>
        <charset val="1"/>
      </rPr>
      <t xml:space="preserve">] </t>
    </r>
    <r>
      <rPr>
        <i val="true"/>
        <sz val="11"/>
        <color rgb="FF595959"/>
        <rFont val="Linux Libertine G"/>
        <family val="2"/>
      </rPr>
      <t xml:space="preserve">的是从练习轮推出来、还没验证过的做法。</t>
    </r>
  </si>
  <si>
    <t xml:space="preserve">项目</t>
  </si>
  <si>
    <r>
      <rPr>
        <b val="true"/>
        <sz val="11"/>
        <color rgb="FFFFFFFF"/>
        <rFont val="Arial"/>
        <family val="0"/>
        <charset val="1"/>
      </rPr>
      <t xml:space="preserve">Decision 1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Year 1</t>
    </r>
    <r>
      <rPr>
        <b val="true"/>
        <sz val="11"/>
        <color rgb="FFFFFFFF"/>
        <rFont val="Linux Libertine G"/>
        <family val="2"/>
      </rPr>
      <t xml:space="preserve">）怎么做</t>
    </r>
  </si>
  <si>
    <t xml:space="preserve">依据</t>
  </si>
  <si>
    <r>
      <rPr>
        <b val="true"/>
        <sz val="11"/>
        <color rgb="FFFFFFFF"/>
        <rFont val="Linux Libertine G"/>
        <family val="2"/>
      </rPr>
      <t xml:space="preserve">实际怎么做的（</t>
    </r>
    <r>
      <rPr>
        <b val="true"/>
        <sz val="11"/>
        <color rgb="FFFFFFFF"/>
        <rFont val="Linux Libertine G"/>
        <family val="2"/>
        <charset val="1"/>
      </rPr>
      <t xml:space="preserve">10/11 </t>
    </r>
    <r>
      <rPr>
        <b val="true"/>
        <sz val="11"/>
        <color rgb="FFFFFFFF"/>
        <rFont val="Linux Libertine G"/>
        <family val="2"/>
      </rPr>
      <t xml:space="preserve">已保存）</t>
    </r>
  </si>
  <si>
    <t xml:space="preserve">调研</t>
  </si>
  <si>
    <r>
      <rPr>
        <sz val="11"/>
        <color rgb="FF000000"/>
        <rFont val="Arial"/>
        <family val="0"/>
        <charset val="1"/>
      </rPr>
      <t xml:space="preserve">1E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2E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2F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3T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5U </t>
    </r>
    <r>
      <rPr>
        <sz val="11"/>
        <color rgb="FF000000"/>
        <rFont val="Linux Libertine G"/>
        <family val="2"/>
      </rPr>
      <t xml:space="preserve">各买 </t>
    </r>
    <r>
      <rPr>
        <sz val="11"/>
        <color rgb="FF000000"/>
        <rFont val="Arial"/>
        <family val="0"/>
        <charset val="1"/>
      </rPr>
      <t xml:space="preserve">Microsegment + Focus Group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Arial"/>
        <family val="0"/>
        <charset val="1"/>
      </rPr>
      <t xml:space="preserve">Test Market </t>
    </r>
    <r>
      <rPr>
        <sz val="11"/>
        <color rgb="FF000000"/>
        <rFont val="Linux Libertine G"/>
        <family val="2"/>
      </rPr>
      <t xml:space="preserve">和 </t>
    </r>
    <r>
      <rPr>
        <sz val="11"/>
        <color rgb="FF000000"/>
        <rFont val="Arial"/>
        <family val="0"/>
        <charset val="1"/>
      </rPr>
      <t xml:space="preserve">Concept Test </t>
    </r>
    <r>
      <rPr>
        <sz val="11"/>
        <color rgb="FF000000"/>
        <rFont val="Linux Libertine G"/>
        <family val="2"/>
      </rPr>
      <t xml:space="preserve">用满</t>
    </r>
  </si>
  <si>
    <r>
      <rPr>
        <sz val="11"/>
        <color rgb="FF000000"/>
        <rFont val="Linux Libertine G"/>
        <family val="2"/>
      </rPr>
      <t xml:space="preserve">必买的报告；</t>
    </r>
    <r>
      <rPr>
        <sz val="11"/>
        <color rgb="FF000000"/>
        <rFont val="Linux Libertine G"/>
        <family val="2"/>
        <charset val="1"/>
      </rPr>
      <t xml:space="preserve">Test Market </t>
    </r>
    <r>
      <rPr>
        <sz val="11"/>
        <color rgb="FF000000"/>
        <rFont val="Linux Libertine G"/>
        <family val="2"/>
      </rPr>
      <t xml:space="preserve">份额预测很准</t>
    </r>
  </si>
  <si>
    <r>
      <rPr>
        <sz val="11"/>
        <color rgb="FF000000"/>
        <rFont val="Linux Libertine G"/>
        <family val="2"/>
      </rPr>
      <t xml:space="preserve">买了 </t>
    </r>
    <r>
      <rPr>
        <sz val="11"/>
        <color rgb="FF000000"/>
        <rFont val="Linux Libertine G"/>
        <family val="2"/>
        <charset val="1"/>
      </rPr>
      <t xml:space="preserve">5 </t>
    </r>
    <r>
      <rPr>
        <sz val="11"/>
        <color rgb="FF000000"/>
        <rFont val="Linux Libertine G"/>
        <family val="2"/>
      </rPr>
      <t xml:space="preserve">份 </t>
    </r>
    <r>
      <rPr>
        <sz val="11"/>
        <color rgb="FF000000"/>
        <rFont val="Linux Libertine G"/>
        <family val="2"/>
        <charset val="1"/>
      </rPr>
      <t xml:space="preserve">Microsegment + 5 </t>
    </r>
    <r>
      <rPr>
        <sz val="11"/>
        <color rgb="FF000000"/>
        <rFont val="Linux Libertine G"/>
        <family val="2"/>
      </rPr>
      <t xml:space="preserve">份 </t>
    </r>
    <r>
      <rPr>
        <sz val="11"/>
        <color rgb="FF000000"/>
        <rFont val="Linux Libertine G"/>
        <family val="2"/>
        <charset val="1"/>
      </rPr>
      <t xml:space="preserve">Focus Group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Linux Libertine G"/>
        <family val="2"/>
        <charset val="1"/>
      </rPr>
      <t xml:space="preserve">Concept Test 10 </t>
    </r>
    <r>
      <rPr>
        <sz val="11"/>
        <color rgb="FF000000"/>
        <rFont val="Linux Libertine G"/>
        <family val="2"/>
      </rPr>
      <t xml:space="preserve">次、</t>
    </r>
    <r>
      <rPr>
        <sz val="11"/>
        <color rgb="FF000000"/>
        <rFont val="Linux Libertine G"/>
        <family val="2"/>
        <charset val="1"/>
      </rPr>
      <t xml:space="preserve">Test Market 10 </t>
    </r>
    <r>
      <rPr>
        <sz val="11"/>
        <color rgb="FF000000"/>
        <rFont val="Linux Libertine G"/>
        <family val="2"/>
      </rPr>
      <t xml:space="preserve">次全部用完</t>
    </r>
  </si>
  <si>
    <r>
      <rPr>
        <b val="true"/>
        <sz val="11"/>
        <color rgb="FF000000"/>
        <rFont val="Linux Libertine G"/>
        <family val="2"/>
      </rPr>
      <t xml:space="preserve">研发中心 </t>
    </r>
    <r>
      <rPr>
        <b val="true"/>
        <sz val="11"/>
        <color rgb="FF000000"/>
        <rFont val="Linux Libertine G"/>
        <family val="2"/>
        <charset val="1"/>
      </rPr>
      <t xml:space="preserve">1</t>
    </r>
  </si>
  <si>
    <r>
      <rPr>
        <sz val="11"/>
        <color rgb="FF000000"/>
        <rFont val="Linux Libertine G"/>
        <family val="2"/>
      </rPr>
      <t xml:space="preserve">开始开发 </t>
    </r>
    <r>
      <rPr>
        <sz val="11"/>
        <color rgb="FF000000"/>
        <rFont val="Linux Libertine G"/>
        <family val="2"/>
        <charset val="1"/>
      </rPr>
      <t xml:space="preserve">Canyon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Linux Libertine G"/>
        <family val="2"/>
        <charset val="1"/>
      </rPr>
      <t xml:space="preserve">Utility</t>
    </r>
    <r>
      <rPr>
        <sz val="11"/>
        <color rgb="FF000000"/>
        <rFont val="Linux Libertine G"/>
        <family val="2"/>
      </rPr>
      <t xml:space="preserve">，瞄准 </t>
    </r>
    <r>
      <rPr>
        <sz val="11"/>
        <color rgb="FF000000"/>
        <rFont val="Linux Libertine G"/>
        <family val="2"/>
        <charset val="1"/>
      </rPr>
      <t xml:space="preserve">5U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Linux Libertine G"/>
        <family val="2"/>
        <charset val="1"/>
      </rPr>
      <t xml:space="preserve">3 </t>
    </r>
    <r>
      <rPr>
        <sz val="11"/>
        <color rgb="FF000000"/>
        <rFont val="Linux Libertine G"/>
        <family val="2"/>
      </rPr>
      <t xml:space="preserve">年后上市）；</t>
    </r>
    <r>
      <rPr>
        <sz val="11"/>
        <color rgb="FF000000"/>
        <rFont val="Linux Libertine G"/>
        <family val="2"/>
        <charset val="1"/>
      </rPr>
      <t xml:space="preserve">HP </t>
    </r>
    <r>
      <rPr>
        <sz val="11"/>
        <color rgb="FF000000"/>
        <rFont val="Linux Libertine G"/>
        <family val="2"/>
      </rPr>
      <t xml:space="preserve">尽量做到 </t>
    </r>
    <r>
      <rPr>
        <sz val="11"/>
        <color rgb="FF000000"/>
        <rFont val="Linux Libertine G"/>
        <family val="2"/>
        <charset val="1"/>
      </rPr>
      <t xml:space="preserve">225 </t>
    </r>
    <r>
      <rPr>
        <sz val="11"/>
        <color rgb="FF000000"/>
        <rFont val="Linux Libertine G"/>
        <family val="2"/>
      </rPr>
      <t xml:space="preserve">以上 </t>
    </r>
    <r>
      <rPr>
        <sz val="11"/>
        <color rgb="FF000000"/>
        <rFont val="Linux Libertine G"/>
        <family val="2"/>
        <charset val="1"/>
      </rPr>
      <t xml:space="preserve">[</t>
    </r>
    <r>
      <rPr>
        <sz val="11"/>
        <color rgb="FF000000"/>
        <rFont val="Linux Libertine G"/>
        <family val="2"/>
      </rPr>
      <t xml:space="preserve">推断</t>
    </r>
    <r>
      <rPr>
        <sz val="11"/>
        <color rgb="FF000000"/>
        <rFont val="Linux Libertine G"/>
        <family val="2"/>
        <charset val="1"/>
      </rPr>
      <t xml:space="preserve">]</t>
    </r>
  </si>
  <si>
    <t xml:space="preserve">练习轮单车利润最高的车</t>
  </si>
  <si>
    <r>
      <rPr>
        <sz val="11"/>
        <color rgb="FF000000"/>
        <rFont val="Linux Libertine G"/>
        <family val="2"/>
        <charset val="1"/>
      </rPr>
      <t xml:space="preserve">Canyon 66 / 245 HP / ISSQ 3-6-3-5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Linux Libertine G"/>
        <family val="2"/>
        <charset val="1"/>
      </rPr>
      <t xml:space="preserve">Y3 </t>
    </r>
    <r>
      <rPr>
        <sz val="11"/>
        <color rgb="FF000000"/>
        <rFont val="Linux Libertine G"/>
        <family val="2"/>
      </rPr>
      <t xml:space="preserve">上市（</t>
    </r>
    <r>
      <rPr>
        <sz val="11"/>
        <color rgb="FF000000"/>
        <rFont val="Linux Libertine G"/>
        <family val="2"/>
        <charset val="1"/>
      </rPr>
      <t xml:space="preserve">Concept Test</t>
    </r>
    <r>
      <rPr>
        <sz val="11"/>
        <color rgb="FF000000"/>
        <rFont val="Linux Libertine G"/>
        <family val="2"/>
      </rPr>
      <t xml:space="preserve">：</t>
    </r>
    <r>
      <rPr>
        <sz val="11"/>
        <color rgb="FF000000"/>
        <rFont val="Linux Libertine G"/>
        <family val="2"/>
        <charset val="1"/>
      </rPr>
      <t xml:space="preserve">245 best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Linux Libertine G"/>
        <family val="2"/>
        <charset val="1"/>
      </rPr>
      <t xml:space="preserve">225 sluggish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Linux Libertine G"/>
        <family val="2"/>
        <charset val="1"/>
      </rPr>
      <t xml:space="preserve">260 poor MPG</t>
    </r>
    <r>
      <rPr>
        <sz val="11"/>
        <color rgb="FF000000"/>
        <rFont val="Linux Libertine G"/>
        <family val="2"/>
      </rPr>
      <t xml:space="preserve">）</t>
    </r>
  </si>
  <si>
    <r>
      <rPr>
        <b val="true"/>
        <sz val="11"/>
        <color rgb="FF000000"/>
        <rFont val="Linux Libertine G"/>
        <family val="2"/>
      </rPr>
      <t xml:space="preserve">研发中心 </t>
    </r>
    <r>
      <rPr>
        <b val="true"/>
        <sz val="11"/>
        <color rgb="FF000000"/>
        <rFont val="Linux Libertine G"/>
        <family val="2"/>
        <charset val="1"/>
      </rPr>
      <t xml:space="preserve">2</t>
    </r>
  </si>
  <si>
    <r>
      <rPr>
        <sz val="11"/>
        <color rgb="FF000000"/>
        <rFont val="Arial"/>
        <family val="0"/>
        <charset val="1"/>
      </rPr>
      <t xml:space="preserve">Cafav </t>
    </r>
    <r>
      <rPr>
        <sz val="11"/>
        <color rgb="FF000000"/>
        <rFont val="Linux Libertine G"/>
        <family val="2"/>
      </rPr>
      <t xml:space="preserve">直接做 </t>
    </r>
    <r>
      <rPr>
        <sz val="11"/>
        <color rgb="FF000000"/>
        <rFont val="Arial"/>
        <family val="0"/>
        <charset val="1"/>
      </rPr>
      <t xml:space="preserve">major</t>
    </r>
    <r>
      <rPr>
        <sz val="11"/>
        <color rgb="FF000000"/>
        <rFont val="Linux Libertine G"/>
        <family val="2"/>
      </rPr>
      <t xml:space="preserve">：尺寸往 </t>
    </r>
    <r>
      <rPr>
        <sz val="11"/>
        <color rgb="FF000000"/>
        <rFont val="Arial"/>
        <family val="0"/>
        <charset val="1"/>
      </rPr>
      <t xml:space="preserve">38–40 </t>
    </r>
    <r>
      <rPr>
        <sz val="11"/>
        <color rgb="FF000000"/>
        <rFont val="Linux Libertine G"/>
        <family val="2"/>
      </rPr>
      <t xml:space="preserve">改，</t>
    </r>
    <r>
      <rPr>
        <sz val="11"/>
        <color rgb="FF000000"/>
        <rFont val="Arial"/>
        <family val="0"/>
        <charset val="1"/>
      </rPr>
      <t xml:space="preserve">Safety </t>
    </r>
    <r>
      <rPr>
        <sz val="11"/>
        <color rgb="FF000000"/>
        <rFont val="Linux Libertine G"/>
        <family val="2"/>
      </rPr>
      <t xml:space="preserve">和 </t>
    </r>
    <r>
      <rPr>
        <sz val="11"/>
        <color rgb="FF000000"/>
        <rFont val="Arial"/>
        <family val="0"/>
        <charset val="1"/>
      </rPr>
      <t xml:space="preserve">Quality </t>
    </r>
    <r>
      <rPr>
        <sz val="11"/>
        <color rgb="FF000000"/>
        <rFont val="Linux Libertine G"/>
        <family val="2"/>
      </rPr>
      <t xml:space="preserve">往上加</t>
    </r>
  </si>
  <si>
    <r>
      <rPr>
        <sz val="11"/>
        <color rgb="FF000000"/>
        <rFont val="Linux Libertine G"/>
        <family val="2"/>
      </rPr>
      <t xml:space="preserve">改成 </t>
    </r>
    <r>
      <rPr>
        <sz val="11"/>
        <color rgb="FF000000"/>
        <rFont val="Linux Libertine G"/>
        <family val="2"/>
        <charset val="1"/>
      </rPr>
      <t xml:space="preserve">40 </t>
    </r>
    <r>
      <rPr>
        <sz val="11"/>
        <color rgb="FF000000"/>
        <rFont val="Linux Libertine G"/>
        <family val="2"/>
      </rPr>
      <t xml:space="preserve">后 </t>
    </r>
    <r>
      <rPr>
        <sz val="11"/>
        <color rgb="FF000000"/>
        <rFont val="Linux Libertine G"/>
        <family val="2"/>
        <charset val="1"/>
      </rPr>
      <t xml:space="preserve">Likely to buy </t>
    </r>
    <r>
      <rPr>
        <sz val="11"/>
        <color rgb="FF000000"/>
        <rFont val="Linux Libertine G"/>
        <family val="2"/>
      </rPr>
      <t xml:space="preserve">从 </t>
    </r>
    <r>
      <rPr>
        <sz val="11"/>
        <color rgb="FF000000"/>
        <rFont val="Linux Libertine G"/>
        <family val="2"/>
        <charset val="1"/>
      </rPr>
      <t xml:space="preserve">14.2% </t>
    </r>
    <r>
      <rPr>
        <sz val="11"/>
        <color rgb="FF000000"/>
        <rFont val="Linux Libertine G"/>
        <family val="2"/>
      </rPr>
      <t xml:space="preserve">升到 </t>
    </r>
    <r>
      <rPr>
        <sz val="11"/>
        <color rgb="FF000000"/>
        <rFont val="Linux Libertine G"/>
        <family val="2"/>
        <charset val="1"/>
      </rPr>
      <t xml:space="preserve">24.3%</t>
    </r>
  </si>
  <si>
    <r>
      <rPr>
        <sz val="11"/>
        <color rgb="FF000000"/>
        <rFont val="Linux Libertine G"/>
        <family val="2"/>
        <charset val="1"/>
      </rPr>
      <t xml:space="preserve">Cafav major 38 / 150 / Safety 4 / Quality 3</t>
    </r>
    <r>
      <rPr>
        <sz val="11"/>
        <color rgb="FF000000"/>
        <rFont val="Linux Libertine G"/>
        <family val="2"/>
      </rPr>
      <t xml:space="preserve">（今年的上限），</t>
    </r>
    <r>
      <rPr>
        <sz val="11"/>
        <color rgb="FF000000"/>
        <rFont val="Linux Libertine G"/>
        <family val="2"/>
        <charset val="1"/>
      </rPr>
      <t xml:space="preserve">Y2 </t>
    </r>
    <r>
      <rPr>
        <sz val="11"/>
        <color rgb="FF000000"/>
        <rFont val="Linux Libertine G"/>
        <family val="2"/>
      </rPr>
      <t xml:space="preserve">上市，上市时再调到 </t>
    </r>
    <r>
      <rPr>
        <sz val="11"/>
        <color rgb="FF000000"/>
        <rFont val="Linux Libertine G"/>
        <family val="2"/>
        <charset val="1"/>
      </rPr>
      <t xml:space="preserve">Safety 5</t>
    </r>
  </si>
  <si>
    <t xml:space="preserve">新研发中心</t>
  </si>
  <si>
    <r>
      <rPr>
        <sz val="11"/>
        <color rgb="FF000000"/>
        <rFont val="Linux Libertine G"/>
        <family val="2"/>
      </rPr>
      <t xml:space="preserve">马上建第 </t>
    </r>
    <r>
      <rPr>
        <sz val="11"/>
        <color rgb="FF000000"/>
        <rFont val="Linux Libertine G"/>
        <family val="2"/>
        <charset val="1"/>
      </rPr>
      <t xml:space="preserve">3</t>
    </r>
    <r>
      <rPr>
        <sz val="11"/>
        <color rgb="FF000000"/>
        <rFont val="Linux Libertine G"/>
        <family val="2"/>
      </rPr>
      <t xml:space="preserve">、第 </t>
    </r>
    <r>
      <rPr>
        <sz val="11"/>
        <color rgb="FF000000"/>
        <rFont val="Linux Libertine G"/>
        <family val="2"/>
        <charset val="1"/>
      </rPr>
      <t xml:space="preserve">4 </t>
    </r>
    <r>
      <rPr>
        <sz val="11"/>
        <color rgb="FF000000"/>
        <rFont val="Linux Libertine G"/>
        <family val="2"/>
      </rPr>
      <t xml:space="preserve">个；</t>
    </r>
    <r>
      <rPr>
        <sz val="11"/>
        <color rgb="FF000000"/>
        <rFont val="Linux Libertine G"/>
        <family val="2"/>
        <charset val="1"/>
      </rPr>
      <t xml:space="preserve">Y2 </t>
    </r>
    <r>
      <rPr>
        <sz val="11"/>
        <color rgb="FF000000"/>
        <rFont val="Linux Libertine G"/>
        <family val="2"/>
      </rPr>
      <t xml:space="preserve">放 </t>
    </r>
    <r>
      <rPr>
        <sz val="11"/>
        <color rgb="FF000000"/>
        <rFont val="Linux Libertine G"/>
        <family val="2"/>
        <charset val="1"/>
      </rPr>
      <t xml:space="preserve">Crash major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Linux Libertine G"/>
        <family val="2"/>
        <charset val="1"/>
      </rPr>
      <t xml:space="preserve">68/200/S4/Q3</t>
    </r>
    <r>
      <rPr>
        <sz val="11"/>
        <color rgb="FF000000"/>
        <rFont val="Linux Libertine G"/>
        <family val="2"/>
      </rPr>
      <t xml:space="preserve">）和 </t>
    </r>
    <r>
      <rPr>
        <sz val="11"/>
        <color rgb="FF000000"/>
        <rFont val="Linux Libertine G"/>
        <family val="2"/>
        <charset val="1"/>
      </rPr>
      <t xml:space="preserve">Cameo major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Linux Libertine G"/>
        <family val="2"/>
        <charset val="1"/>
      </rPr>
      <t xml:space="preserve">24</t>
    </r>
    <r>
      <rPr>
        <sz val="11"/>
        <color rgb="FF000000"/>
        <rFont val="Linux Libertine G"/>
        <family val="2"/>
      </rPr>
      <t xml:space="preserve">，瞄准 </t>
    </r>
    <r>
      <rPr>
        <sz val="11"/>
        <color rgb="FF000000"/>
        <rFont val="Linux Libertine G"/>
        <family val="2"/>
        <charset val="1"/>
      </rPr>
      <t xml:space="preserve">2E</t>
    </r>
    <r>
      <rPr>
        <sz val="11"/>
        <color rgb="FF000000"/>
        <rFont val="Linux Libertine G"/>
        <family val="2"/>
      </rPr>
      <t xml:space="preserve">）</t>
    </r>
  </si>
  <si>
    <r>
      <rPr>
        <sz val="11"/>
        <color rgb="FF000000"/>
        <rFont val="Linux Libertine G"/>
        <family val="2"/>
      </rPr>
      <t xml:space="preserve">新中心要等一年才能用；</t>
    </r>
    <r>
      <rPr>
        <sz val="11"/>
        <color rgb="FF000000"/>
        <rFont val="Linux Libertine G"/>
        <family val="2"/>
        <charset val="1"/>
      </rPr>
      <t xml:space="preserve">major </t>
    </r>
    <r>
      <rPr>
        <sz val="11"/>
        <color rgb="FF000000"/>
        <rFont val="Linux Libertine G"/>
        <family val="2"/>
      </rPr>
      <t xml:space="preserve">要占两年</t>
    </r>
  </si>
  <si>
    <r>
      <rPr>
        <sz val="11"/>
        <color rgb="FF000000"/>
        <rFont val="Linux Libertine G"/>
        <family val="2"/>
      </rPr>
      <t xml:space="preserve">只建了第 </t>
    </r>
    <r>
      <rPr>
        <sz val="11"/>
        <color rgb="FF000000"/>
        <rFont val="Linux Libertine G"/>
        <family val="2"/>
        <charset val="1"/>
      </rPr>
      <t xml:space="preserve">3 </t>
    </r>
    <r>
      <rPr>
        <sz val="11"/>
        <color rgb="FF000000"/>
        <rFont val="Linux Libertine G"/>
        <family val="2"/>
      </rPr>
      <t xml:space="preserve">个（</t>
    </r>
    <r>
      <rPr>
        <sz val="11"/>
        <color rgb="FF000000"/>
        <rFont val="Linux Libertine G"/>
        <family val="2"/>
        <charset val="1"/>
      </rPr>
      <t xml:space="preserve">$624M</t>
    </r>
    <r>
      <rPr>
        <sz val="11"/>
        <color rgb="FF000000"/>
        <rFont val="Linux Libertine G"/>
        <family val="2"/>
      </rPr>
      <t xml:space="preserve">）：系统每年只能建 </t>
    </r>
    <r>
      <rPr>
        <sz val="11"/>
        <color rgb="FF000000"/>
        <rFont val="Linux Libertine G"/>
        <family val="2"/>
        <charset val="1"/>
      </rPr>
      <t xml:space="preserve">1 </t>
    </r>
    <r>
      <rPr>
        <sz val="11"/>
        <color rgb="FF000000"/>
        <rFont val="Linux Libertine G"/>
        <family val="2"/>
      </rPr>
      <t xml:space="preserve">个中心</t>
    </r>
  </si>
  <si>
    <t xml:space="preserve">技术</t>
  </si>
  <si>
    <r>
      <rPr>
        <sz val="11"/>
        <color rgb="FF000000"/>
        <rFont val="Arial"/>
        <family val="0"/>
        <charset val="1"/>
      </rPr>
      <t xml:space="preserve">Safety +1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Styling +1 </t>
    </r>
    <r>
      <rPr>
        <sz val="11"/>
        <color rgb="FF000000"/>
        <rFont val="Linux Libertine G"/>
        <family val="2"/>
      </rPr>
      <t xml:space="preserve">先做</t>
    </r>
  </si>
  <si>
    <r>
      <rPr>
        <sz val="11"/>
        <color rgb="FF000000"/>
        <rFont val="Arial"/>
        <family val="0"/>
        <charset val="1"/>
      </rPr>
      <t xml:space="preserve">Cafav </t>
    </r>
    <r>
      <rPr>
        <sz val="11"/>
        <color rgb="FF000000"/>
        <rFont val="Linux Libertine G"/>
        <family val="2"/>
      </rPr>
      <t xml:space="preserve">要到 </t>
    </r>
    <r>
      <rPr>
        <sz val="11"/>
        <color rgb="FF000000"/>
        <rFont val="Arial"/>
        <family val="0"/>
        <charset val="1"/>
      </rPr>
      <t xml:space="preserve">Safety 5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Arial"/>
        <family val="0"/>
        <charset val="1"/>
      </rPr>
      <t xml:space="preserve">Canyon </t>
    </r>
    <r>
      <rPr>
        <sz val="11"/>
        <color rgb="FF000000"/>
        <rFont val="Linux Libertine G"/>
        <family val="2"/>
      </rPr>
      <t xml:space="preserve">要到 </t>
    </r>
    <r>
      <rPr>
        <sz val="11"/>
        <color rgb="FF000000"/>
        <rFont val="Arial"/>
        <family val="0"/>
        <charset val="1"/>
      </rPr>
      <t xml:space="preserve">Styling 7</t>
    </r>
  </si>
  <si>
    <r>
      <rPr>
        <sz val="11"/>
        <color rgb="FF000000"/>
        <rFont val="Linux Libertine G"/>
        <family val="2"/>
      </rPr>
      <t xml:space="preserve">只做 </t>
    </r>
    <r>
      <rPr>
        <sz val="11"/>
        <color rgb="FF000000"/>
        <rFont val="Linux Libertine G"/>
        <family val="2"/>
        <charset val="1"/>
      </rPr>
      <t xml:space="preserve">Safety +1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Linux Libertine G"/>
        <family val="2"/>
        <charset val="1"/>
      </rPr>
      <t xml:space="preserve">$327M</t>
    </r>
    <r>
      <rPr>
        <sz val="11"/>
        <color rgb="FF000000"/>
        <rFont val="Linux Libertine G"/>
        <family val="2"/>
      </rPr>
      <t xml:space="preserve">）；</t>
    </r>
    <r>
      <rPr>
        <sz val="11"/>
        <color rgb="FF000000"/>
        <rFont val="Linux Libertine G"/>
        <family val="2"/>
        <charset val="1"/>
      </rPr>
      <t xml:space="preserve">Styling +1 </t>
    </r>
    <r>
      <rPr>
        <sz val="11"/>
        <color rgb="FF000000"/>
        <rFont val="Linux Libertine G"/>
        <family val="2"/>
      </rPr>
      <t xml:space="preserve">推到 </t>
    </r>
    <r>
      <rPr>
        <sz val="11"/>
        <color rgb="FF000000"/>
        <rFont val="Linux Libertine G"/>
        <family val="2"/>
        <charset val="1"/>
      </rPr>
      <t xml:space="preserve">Y2 [</t>
    </r>
    <r>
      <rPr>
        <sz val="11"/>
        <color rgb="FF000000"/>
        <rFont val="Linux Libertine G"/>
        <family val="2"/>
      </rPr>
      <t xml:space="preserve">推断：</t>
    </r>
    <r>
      <rPr>
        <sz val="11"/>
        <color rgb="FF000000"/>
        <rFont val="Linux Libertine G"/>
        <family val="2"/>
        <charset val="1"/>
      </rPr>
      <t xml:space="preserve">Canyon </t>
    </r>
    <r>
      <rPr>
        <sz val="11"/>
        <color rgb="FF000000"/>
        <rFont val="Linux Libertine G"/>
        <family val="2"/>
      </rPr>
      <t xml:space="preserve">上市那年还能调</t>
    </r>
    <r>
      <rPr>
        <sz val="11"/>
        <color rgb="FF000000"/>
        <rFont val="Linux Libertine G"/>
        <family val="2"/>
        <charset val="1"/>
      </rPr>
      <t xml:space="preserve">]</t>
    </r>
  </si>
  <si>
    <t xml:space="preserve">产能</t>
  </si>
  <si>
    <r>
      <rPr>
        <sz val="11"/>
        <color rgb="FF000000"/>
        <rFont val="Linux Libertine G"/>
        <family val="2"/>
      </rPr>
      <t xml:space="preserve">扩产 </t>
    </r>
    <r>
      <rPr>
        <sz val="11"/>
        <color rgb="FF000000"/>
        <rFont val="Linux Libertine G"/>
        <family val="2"/>
        <charset val="1"/>
      </rPr>
      <t xml:space="preserve">+500K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Linux Libertine G"/>
        <family val="2"/>
        <charset val="1"/>
      </rPr>
      <t xml:space="preserve">Y2 </t>
    </r>
    <r>
      <rPr>
        <sz val="11"/>
        <color rgb="FF000000"/>
        <rFont val="Linux Libertine G"/>
        <family val="2"/>
      </rPr>
      <t xml:space="preserve">起能用）</t>
    </r>
  </si>
  <si>
    <t xml:space="preserve">扩产比超产便宜</t>
  </si>
  <si>
    <r>
      <rPr>
        <sz val="11"/>
        <color rgb="FF000000"/>
        <rFont val="Linux Libertine G"/>
        <family val="2"/>
        <charset val="1"/>
      </rPr>
      <t xml:space="preserve">+500K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Linux Libertine G"/>
        <family val="2"/>
        <charset val="1"/>
      </rPr>
      <t xml:space="preserve">$3,517M</t>
    </r>
    <r>
      <rPr>
        <sz val="11"/>
        <color rgb="FF000000"/>
        <rFont val="Linux Libertine G"/>
        <family val="2"/>
      </rPr>
      <t xml:space="preserve">）</t>
    </r>
  </si>
  <si>
    <t xml:space="preserve">产量</t>
  </si>
  <si>
    <r>
      <rPr>
        <sz val="11"/>
        <color rgb="FF000000"/>
        <rFont val="Arial"/>
        <family val="0"/>
        <charset val="1"/>
      </rPr>
      <t xml:space="preserve">Y1 </t>
    </r>
    <r>
      <rPr>
        <sz val="11"/>
        <color rgb="FF000000"/>
        <rFont val="Linux Libertine G"/>
        <family val="2"/>
      </rPr>
      <t xml:space="preserve">最多排到产能的 </t>
    </r>
    <r>
      <rPr>
        <sz val="11"/>
        <color rgb="FF000000"/>
        <rFont val="Arial"/>
        <family val="0"/>
        <charset val="1"/>
      </rPr>
      <t xml:space="preserve">110% [</t>
    </r>
    <r>
      <rPr>
        <sz val="11"/>
        <color rgb="FF000000"/>
        <rFont val="Linux Libertine G"/>
        <family val="2"/>
      </rPr>
      <t xml:space="preserve">推断</t>
    </r>
    <r>
      <rPr>
        <sz val="11"/>
        <color rgb="FF000000"/>
        <rFont val="Arial"/>
        <family val="0"/>
        <charset val="1"/>
      </rPr>
      <t xml:space="preserve">]</t>
    </r>
  </si>
  <si>
    <r>
      <rPr>
        <sz val="11"/>
        <color rgb="FF000000"/>
        <rFont val="Arial"/>
        <family val="0"/>
        <charset val="1"/>
      </rPr>
      <t xml:space="preserve">Y1 </t>
    </r>
    <r>
      <rPr>
        <sz val="11"/>
        <color rgb="FF000000"/>
        <rFont val="Linux Libertine G"/>
        <family val="2"/>
      </rPr>
      <t xml:space="preserve">超产 </t>
    </r>
    <r>
      <rPr>
        <sz val="11"/>
        <color rgb="FF000000"/>
        <rFont val="Arial"/>
        <family val="0"/>
        <charset val="1"/>
      </rPr>
      <t xml:space="preserve">45%</t>
    </r>
    <r>
      <rPr>
        <sz val="11"/>
        <color rgb="FF000000"/>
        <rFont val="Linux Libertine G"/>
        <family val="2"/>
      </rPr>
      <t xml:space="preserve">，超产能费 </t>
    </r>
    <r>
      <rPr>
        <sz val="11"/>
        <color rgb="FF000000"/>
        <rFont val="Arial"/>
        <family val="0"/>
        <charset val="1"/>
      </rPr>
      <t xml:space="preserve">$1,544M</t>
    </r>
  </si>
  <si>
    <r>
      <rPr>
        <sz val="11"/>
        <color rgb="FF000000"/>
        <rFont val="Arial"/>
        <family val="0"/>
        <charset val="1"/>
      </rPr>
      <t xml:space="preserve">1,095K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109.5%</t>
    </r>
    <r>
      <rPr>
        <sz val="11"/>
        <color rgb="FF000000"/>
        <rFont val="Linux Libertine G"/>
        <family val="2"/>
      </rPr>
      <t xml:space="preserve">），超产能费 </t>
    </r>
    <r>
      <rPr>
        <sz val="11"/>
        <color rgb="FF000000"/>
        <rFont val="Arial"/>
        <family val="0"/>
        <charset val="1"/>
      </rPr>
      <t xml:space="preserve">$208M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Arial"/>
        <family val="0"/>
        <charset val="1"/>
      </rPr>
      <t xml:space="preserve">Cafav </t>
    </r>
    <r>
      <rPr>
        <sz val="11"/>
        <color rgb="FF000000"/>
        <rFont val="Linux Libertine G"/>
        <family val="2"/>
      </rPr>
      <t xml:space="preserve">故意排得比需求少一点</t>
    </r>
  </si>
  <si>
    <t xml:space="preserve">价格</t>
  </si>
  <si>
    <r>
      <rPr>
        <sz val="11"/>
        <color rgb="FF000000"/>
        <rFont val="Linux Libertine G"/>
        <family val="2"/>
      </rPr>
      <t xml:space="preserve">每款车先用 </t>
    </r>
    <r>
      <rPr>
        <sz val="11"/>
        <color rgb="FF000000"/>
        <rFont val="Linux Libertine G"/>
        <family val="2"/>
        <charset val="1"/>
      </rPr>
      <t xml:space="preserve">Test Market </t>
    </r>
    <r>
      <rPr>
        <sz val="11"/>
        <color rgb="FF000000"/>
        <rFont val="Linux Libertine G"/>
        <family val="2"/>
      </rPr>
      <t xml:space="preserve">往上试 </t>
    </r>
    <r>
      <rPr>
        <sz val="11"/>
        <color rgb="FF000000"/>
        <rFont val="Linux Libertine G"/>
        <family val="2"/>
        <charset val="1"/>
      </rPr>
      <t xml:space="preserve">10%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Linux Libertine G"/>
        <family val="2"/>
        <charset val="1"/>
      </rPr>
      <t xml:space="preserve">Cafav </t>
    </r>
    <r>
      <rPr>
        <sz val="11"/>
        <color rgb="FF000000"/>
        <rFont val="Linux Libertine G"/>
        <family val="2"/>
      </rPr>
      <t xml:space="preserve">升级前 </t>
    </r>
    <r>
      <rPr>
        <sz val="11"/>
        <color rgb="FF000000"/>
        <rFont val="Linux Libertine G"/>
        <family val="2"/>
        <charset val="1"/>
      </rPr>
      <t xml:space="preserve">$21.8K </t>
    </r>
    <r>
      <rPr>
        <sz val="11"/>
        <color rgb="FF000000"/>
        <rFont val="Linux Libertine G"/>
        <family val="2"/>
      </rPr>
      <t xml:space="preserve">是断崖</t>
    </r>
  </si>
  <si>
    <t xml:space="preserve">测试结果</t>
  </si>
  <si>
    <r>
      <rPr>
        <sz val="11"/>
        <color rgb="FF000000"/>
        <rFont val="Linux Libertine G"/>
        <family val="2"/>
        <charset val="1"/>
      </rPr>
      <t xml:space="preserve">Cafav $22,385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Linux Libertine G"/>
        <family val="2"/>
        <charset val="1"/>
      </rPr>
      <t xml:space="preserve">Crash $22,500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Linux Libertine G"/>
        <family val="2"/>
        <charset val="1"/>
      </rPr>
      <t xml:space="preserve">Cameo $12,640</t>
    </r>
    <r>
      <rPr>
        <sz val="11"/>
        <color rgb="FF000000"/>
        <rFont val="Linux Libertine G"/>
        <family val="2"/>
      </rPr>
      <t xml:space="preserve">（都是 </t>
    </r>
    <r>
      <rPr>
        <sz val="11"/>
        <color rgb="FF000000"/>
        <rFont val="Linux Libertine G"/>
        <family val="2"/>
        <charset val="1"/>
      </rPr>
      <t xml:space="preserve">Test Market </t>
    </r>
    <r>
      <rPr>
        <sz val="11"/>
        <color rgb="FF000000"/>
        <rFont val="Linux Libertine G"/>
        <family val="2"/>
      </rPr>
      <t xml:space="preserve">测过的，约 </t>
    </r>
    <r>
      <rPr>
        <sz val="11"/>
        <color rgb="FF000000"/>
        <rFont val="Linux Libertine G"/>
        <family val="2"/>
        <charset val="1"/>
      </rPr>
      <t xml:space="preserve">+10%</t>
    </r>
    <r>
      <rPr>
        <sz val="11"/>
        <color rgb="FF000000"/>
        <rFont val="Linux Libertine G"/>
        <family val="2"/>
      </rPr>
      <t xml:space="preserve">）</t>
    </r>
  </si>
  <si>
    <t xml:space="preserve">营销</t>
  </si>
  <si>
    <r>
      <rPr>
        <sz val="11"/>
        <color rgb="FF000000"/>
        <rFont val="Linux Libertine G"/>
        <family val="2"/>
      </rPr>
      <t xml:space="preserve">约占营收 </t>
    </r>
    <r>
      <rPr>
        <sz val="11"/>
        <color rgb="FF000000"/>
        <rFont val="Linux Libertine G"/>
        <family val="2"/>
        <charset val="1"/>
      </rPr>
      <t xml:space="preserve">2%</t>
    </r>
  </si>
  <si>
    <r>
      <rPr>
        <sz val="11"/>
        <color rgb="FF000000"/>
        <rFont val="Arial"/>
        <family val="0"/>
        <charset val="1"/>
      </rPr>
      <t xml:space="preserve">Firm Preference </t>
    </r>
    <r>
      <rPr>
        <sz val="11"/>
        <color rgb="FF000000"/>
        <rFont val="Linux Libertine G"/>
        <family val="2"/>
      </rPr>
      <t xml:space="preserve">翻倍</t>
    </r>
  </si>
  <si>
    <r>
      <rPr>
        <sz val="11"/>
        <color rgb="FF000000"/>
        <rFont val="Linux Libertine G"/>
        <family val="2"/>
      </rPr>
      <t xml:space="preserve">营销 </t>
    </r>
    <r>
      <rPr>
        <sz val="11"/>
        <color rgb="FF000000"/>
        <rFont val="Linux Libertine G"/>
        <family val="2"/>
        <charset val="1"/>
      </rPr>
      <t xml:space="preserve">$395M</t>
    </r>
    <r>
      <rPr>
        <sz val="11"/>
        <color rgb="FF000000"/>
        <rFont val="Linux Libertine G"/>
        <family val="2"/>
      </rPr>
      <t xml:space="preserve">（约 </t>
    </r>
    <r>
      <rPr>
        <sz val="11"/>
        <color rgb="FF000000"/>
        <rFont val="Linux Libertine G"/>
        <family val="2"/>
        <charset val="1"/>
      </rPr>
      <t xml:space="preserve">1.8%</t>
    </r>
    <r>
      <rPr>
        <sz val="11"/>
        <color rgb="FF000000"/>
        <rFont val="Linux Libertine G"/>
        <family val="2"/>
      </rPr>
      <t xml:space="preserve">）：</t>
    </r>
    <r>
      <rPr>
        <sz val="11"/>
        <color rgb="FF000000"/>
        <rFont val="Linux Libertine G"/>
        <family val="2"/>
        <charset val="1"/>
      </rPr>
      <t xml:space="preserve">Cafav </t>
    </r>
    <r>
      <rPr>
        <sz val="11"/>
        <color rgb="FF000000"/>
        <rFont val="Linux Libertine G"/>
        <family val="2"/>
      </rPr>
      <t xml:space="preserve">广告加倍 </t>
    </r>
    <r>
      <rPr>
        <sz val="11"/>
        <color rgb="FF000000"/>
        <rFont val="Linux Libertine G"/>
        <family val="2"/>
        <charset val="1"/>
      </rPr>
      <t xml:space="preserve">100/70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Linux Libertine G"/>
        <family val="2"/>
        <charset val="1"/>
      </rPr>
      <t xml:space="preserve">Crash 50/20</t>
    </r>
    <r>
      <rPr>
        <sz val="11"/>
        <color rgb="FF000000"/>
        <rFont val="Linux Libertine G"/>
        <family val="2"/>
      </rPr>
      <t xml:space="preserve">，企业广告 </t>
    </r>
    <r>
      <rPr>
        <sz val="11"/>
        <color rgb="FF000000"/>
        <rFont val="Linux Libertine G"/>
        <family val="2"/>
        <charset val="1"/>
      </rPr>
      <t xml:space="preserve">$50M → $110M</t>
    </r>
  </si>
  <si>
    <t xml:space="preserve">融资</t>
  </si>
  <si>
    <r>
      <rPr>
        <sz val="11"/>
        <color rgb="FF000000"/>
        <rFont val="Linux Libertine G"/>
        <family val="2"/>
      </rPr>
      <t xml:space="preserve">增发到上限（约 </t>
    </r>
    <r>
      <rPr>
        <sz val="11"/>
        <color rgb="FF000000"/>
        <rFont val="Linux Libertine G"/>
        <family val="2"/>
        <charset val="1"/>
      </rPr>
      <t xml:space="preserve">$3.5B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Linux Libertine G"/>
        <family val="2"/>
        <charset val="1"/>
      </rPr>
      <t xml:space="preserve">+ </t>
    </r>
    <r>
      <rPr>
        <sz val="11"/>
        <color rgb="FF000000"/>
        <rFont val="Linux Libertine G"/>
        <family val="2"/>
      </rPr>
      <t xml:space="preserve">现金还掉 </t>
    </r>
    <r>
      <rPr>
        <sz val="11"/>
        <color rgb="FF000000"/>
        <rFont val="Linux Libertine G"/>
        <family val="2"/>
        <charset val="1"/>
      </rPr>
      <t xml:space="preserve">7.5% </t>
    </r>
    <r>
      <rPr>
        <sz val="11"/>
        <color rgb="FF000000"/>
        <rFont val="Linux Libertine G"/>
        <family val="2"/>
      </rPr>
      <t xml:space="preserve">的短贷；不发债；现金不宽裕不买 </t>
    </r>
    <r>
      <rPr>
        <sz val="11"/>
        <color rgb="FF000000"/>
        <rFont val="Linux Libertine G"/>
        <family val="2"/>
        <charset val="1"/>
      </rPr>
      <t xml:space="preserve">CD</t>
    </r>
  </si>
  <si>
    <r>
      <rPr>
        <sz val="11"/>
        <color rgb="FF000000"/>
        <rFont val="Arial"/>
        <family val="0"/>
        <charset val="1"/>
      </rPr>
      <t xml:space="preserve">Y1 </t>
    </r>
    <r>
      <rPr>
        <sz val="11"/>
        <color rgb="FF000000"/>
        <rFont val="Linux Libertine G"/>
        <family val="2"/>
      </rPr>
      <t xml:space="preserve">发债导致负债一直最高；</t>
    </r>
    <r>
      <rPr>
        <sz val="11"/>
        <color rgb="FF000000"/>
        <rFont val="Arial"/>
        <family val="0"/>
        <charset val="1"/>
      </rPr>
      <t xml:space="preserve">Y3 </t>
    </r>
    <r>
      <rPr>
        <sz val="11"/>
        <color rgb="FF000000"/>
        <rFont val="Linux Libertine G"/>
        <family val="2"/>
      </rPr>
      <t xml:space="preserve">买 </t>
    </r>
    <r>
      <rPr>
        <sz val="11"/>
        <color rgb="FF000000"/>
        <rFont val="Arial"/>
        <family val="0"/>
        <charset val="1"/>
      </rPr>
      <t xml:space="preserve">CD </t>
    </r>
    <r>
      <rPr>
        <sz val="11"/>
        <color rgb="FF000000"/>
        <rFont val="Linux Libertine G"/>
        <family val="2"/>
      </rPr>
      <t xml:space="preserve">被强制借贷</t>
    </r>
  </si>
  <si>
    <r>
      <rPr>
        <sz val="11"/>
        <color rgb="FF000000"/>
        <rFont val="Linux Libertine G"/>
        <family val="2"/>
      </rPr>
      <t xml:space="preserve">增发 </t>
    </r>
    <r>
      <rPr>
        <sz val="11"/>
        <color rgb="FF000000"/>
        <rFont val="Linux Libertine G"/>
        <family val="2"/>
        <charset val="1"/>
      </rPr>
      <t xml:space="preserve">$3,526M</t>
    </r>
    <r>
      <rPr>
        <sz val="11"/>
        <color rgb="FF000000"/>
        <rFont val="Linux Libertine G"/>
        <family val="2"/>
      </rPr>
      <t xml:space="preserve">（上限）</t>
    </r>
    <r>
      <rPr>
        <sz val="11"/>
        <color rgb="FF000000"/>
        <rFont val="Linux Libertine G"/>
        <family val="2"/>
        <charset val="1"/>
      </rPr>
      <t xml:space="preserve">+ </t>
    </r>
    <r>
      <rPr>
        <sz val="11"/>
        <color rgb="FF000000"/>
        <rFont val="Linux Libertine G"/>
        <family val="2"/>
      </rPr>
      <t xml:space="preserve">还短贷 </t>
    </r>
    <r>
      <rPr>
        <sz val="11"/>
        <color rgb="FF000000"/>
        <rFont val="Linux Libertine G"/>
        <family val="2"/>
        <charset val="1"/>
      </rPr>
      <t xml:space="preserve">$4,000M</t>
    </r>
    <r>
      <rPr>
        <sz val="11"/>
        <color rgb="FF000000"/>
        <rFont val="Linux Libertine G"/>
        <family val="2"/>
      </rPr>
      <t xml:space="preserve">，剩 </t>
    </r>
    <r>
      <rPr>
        <sz val="11"/>
        <color rgb="FF000000"/>
        <rFont val="Linux Libertine G"/>
        <family val="2"/>
        <charset val="1"/>
      </rPr>
      <t xml:space="preserve">$2,660M</t>
    </r>
    <r>
      <rPr>
        <sz val="11"/>
        <color rgb="FF000000"/>
        <rFont val="Linux Libertine G"/>
        <family val="2"/>
      </rPr>
      <t xml:space="preserve">；不发债、不买 </t>
    </r>
    <r>
      <rPr>
        <sz val="11"/>
        <color rgb="FF000000"/>
        <rFont val="Linux Libertine G"/>
        <family val="2"/>
        <charset val="1"/>
      </rPr>
      <t xml:space="preserve">CD</t>
    </r>
    <r>
      <rPr>
        <sz val="11"/>
        <color rgb="FF000000"/>
        <rFont val="Linux Libertine G"/>
        <family val="2"/>
      </rPr>
      <t xml:space="preserve">；分红 </t>
    </r>
    <r>
      <rPr>
        <sz val="11"/>
        <color rgb="FF000000"/>
        <rFont val="Linux Libertine G"/>
        <family val="2"/>
        <charset val="1"/>
      </rPr>
      <t xml:space="preserve">$100M</t>
    </r>
  </si>
  <si>
    <t xml:space="preserve">检查</t>
  </si>
  <si>
    <r>
      <rPr>
        <sz val="11"/>
        <color rgb="FF000000"/>
        <rFont val="Arial"/>
        <family val="0"/>
        <charset val="1"/>
      </rPr>
      <t xml:space="preserve">Pro-Forma </t>
    </r>
    <r>
      <rPr>
        <sz val="11"/>
        <color rgb="FF000000"/>
        <rFont val="Linux Libertine G"/>
        <family val="2"/>
      </rPr>
      <t xml:space="preserve">三情景（卖出 </t>
    </r>
    <r>
      <rPr>
        <sz val="11"/>
        <color rgb="FF000000"/>
        <rFont val="Arial"/>
        <family val="0"/>
        <charset val="1"/>
      </rPr>
      <t xml:space="preserve">90%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80%</t>
    </r>
    <r>
      <rPr>
        <sz val="11"/>
        <color rgb="FF000000"/>
        <rFont val="Linux Libertine G"/>
        <family val="2"/>
      </rPr>
      <t xml:space="preserve">）</t>
    </r>
  </si>
  <si>
    <r>
      <rPr>
        <sz val="11"/>
        <color rgb="FF000000"/>
        <rFont val="Arial"/>
        <family val="0"/>
        <charset val="1"/>
      </rPr>
      <t xml:space="preserve">Pro-Forma </t>
    </r>
    <r>
      <rPr>
        <sz val="11"/>
        <color rgb="FF000000"/>
        <rFont val="Linux Libertine G"/>
        <family val="2"/>
      </rPr>
      <t xml:space="preserve">每年都偏乐观</t>
    </r>
  </si>
  <si>
    <r>
      <rPr>
        <sz val="11"/>
        <color rgb="FF000000"/>
        <rFont val="Linux Libertine G"/>
        <family val="2"/>
      </rPr>
      <t xml:space="preserve">做了：卖出 </t>
    </r>
    <r>
      <rPr>
        <sz val="11"/>
        <color rgb="FF000000"/>
        <rFont val="Linux Libertine G"/>
        <family val="2"/>
        <charset val="1"/>
      </rPr>
      <t xml:space="preserve">90% </t>
    </r>
    <r>
      <rPr>
        <sz val="11"/>
        <color rgb="FF000000"/>
        <rFont val="Linux Libertine G"/>
        <family val="2"/>
      </rPr>
      <t xml:space="preserve">现金约 </t>
    </r>
    <r>
      <rPr>
        <sz val="11"/>
        <color rgb="FF000000"/>
        <rFont val="Linux Libertine G"/>
        <family val="2"/>
        <charset val="1"/>
      </rPr>
      <t xml:space="preserve">$1.0B</t>
    </r>
    <r>
      <rPr>
        <sz val="11"/>
        <color rgb="FF000000"/>
        <rFont val="Linux Libertine G"/>
        <family val="2"/>
      </rPr>
      <t xml:space="preserve">；卖出 </t>
    </r>
    <r>
      <rPr>
        <sz val="11"/>
        <color rgb="FF000000"/>
        <rFont val="Linux Libertine G"/>
        <family val="2"/>
        <charset val="1"/>
      </rPr>
      <t xml:space="preserve">80% </t>
    </r>
    <r>
      <rPr>
        <sz val="11"/>
        <color rgb="FF000000"/>
        <rFont val="Linux Libertine G"/>
        <family val="2"/>
      </rPr>
      <t xml:space="preserve">会被借约 </t>
    </r>
    <r>
      <rPr>
        <sz val="11"/>
        <color rgb="FF000000"/>
        <rFont val="Linux Libertine G"/>
        <family val="2"/>
        <charset val="1"/>
      </rPr>
      <t xml:space="preserve">$0.9B</t>
    </r>
    <r>
      <rPr>
        <sz val="11"/>
        <color rgb="FF000000"/>
        <rFont val="Linux Libertine G"/>
        <family val="2"/>
      </rPr>
      <t xml:space="preserve">（也是 </t>
    </r>
    <r>
      <rPr>
        <sz val="11"/>
        <color rgb="FF000000"/>
        <rFont val="Linux Libertine G"/>
        <family val="2"/>
        <charset val="1"/>
      </rPr>
      <t xml:space="preserve">7.5%</t>
    </r>
    <r>
      <rPr>
        <sz val="11"/>
        <color rgb="FF000000"/>
        <rFont val="Linux Libertine G"/>
        <family val="2"/>
      </rPr>
      <t xml:space="preserve">）</t>
    </r>
  </si>
  <si>
    <t xml:space="preserve">Rationale</t>
  </si>
  <si>
    <r>
      <rPr>
        <sz val="11"/>
        <color rgb="FF000000"/>
        <rFont val="Linux Libertine G"/>
        <family val="2"/>
      </rPr>
      <t xml:space="preserve">英文 → </t>
    </r>
    <r>
      <rPr>
        <sz val="11"/>
        <color rgb="FF000000"/>
        <rFont val="Linux Libertine G"/>
        <family val="2"/>
        <charset val="1"/>
      </rPr>
      <t xml:space="preserve">humanizer → </t>
    </r>
    <r>
      <rPr>
        <sz val="11"/>
        <color rgb="FF000000"/>
        <rFont val="Linux Libertine G"/>
        <family val="2"/>
      </rPr>
      <t xml:space="preserve">保存</t>
    </r>
  </si>
  <si>
    <t xml:space="preserve">组里的规则</t>
  </si>
  <si>
    <t xml:space="preserve">已保存</t>
  </si>
  <si>
    <t xml:space="preserve">之后每一年</t>
  </si>
  <si>
    <t xml:space="preserve">做法</t>
  </si>
  <si>
    <t xml:space="preserve">缺货</t>
  </si>
  <si>
    <r>
      <rPr>
        <sz val="11"/>
        <color rgb="FF000000"/>
        <rFont val="Linux Libertine G"/>
        <family val="2"/>
      </rPr>
      <t xml:space="preserve">还在缺货就提价 </t>
    </r>
    <r>
      <rPr>
        <sz val="11"/>
        <color rgb="FF000000"/>
        <rFont val="Linux Libertine G"/>
        <family val="2"/>
        <charset val="1"/>
      </rPr>
      <t xml:space="preserve">10%</t>
    </r>
    <r>
      <rPr>
        <sz val="11"/>
        <color rgb="FF000000"/>
        <rFont val="Linux Libertine G"/>
        <family val="2"/>
      </rPr>
      <t xml:space="preserve">，同时扩产（提前一年做）</t>
    </r>
  </si>
  <si>
    <t xml:space="preserve">车型升级当年</t>
  </si>
  <si>
    <r>
      <rPr>
        <sz val="11"/>
        <color rgb="FF000000"/>
        <rFont val="Arial"/>
        <family val="0"/>
        <charset val="1"/>
      </rPr>
      <t xml:space="preserve">Test Market </t>
    </r>
    <r>
      <rPr>
        <sz val="11"/>
        <color rgb="FF000000"/>
        <rFont val="Linux Libertine G"/>
        <family val="2"/>
      </rPr>
      <t xml:space="preserve">会低估需求，排产要往上调；升级前一年少排产</t>
    </r>
  </si>
  <si>
    <t xml:space="preserve">第二款新车</t>
  </si>
  <si>
    <r>
      <rPr>
        <sz val="11"/>
        <color rgb="FF000000"/>
        <rFont val="Arial"/>
        <family val="0"/>
        <charset val="1"/>
      </rPr>
      <t xml:space="preserve">4M </t>
    </r>
    <r>
      <rPr>
        <sz val="11"/>
        <color rgb="FF000000"/>
        <rFont val="Linux Libertine G"/>
        <family val="2"/>
      </rPr>
      <t xml:space="preserve">高端 </t>
    </r>
    <r>
      <rPr>
        <sz val="11"/>
        <color rgb="FF000000"/>
        <rFont val="Arial"/>
        <family val="0"/>
        <charset val="1"/>
      </rPr>
      <t xml:space="preserve">Minivan </t>
    </r>
    <r>
      <rPr>
        <sz val="11"/>
        <color rgb="FF000000"/>
        <rFont val="Linux Libertine G"/>
        <family val="2"/>
      </rPr>
      <t xml:space="preserve">或 </t>
    </r>
    <r>
      <rPr>
        <sz val="11"/>
        <color rgb="FF000000"/>
        <rFont val="Arial"/>
        <family val="0"/>
        <charset val="1"/>
      </rPr>
      <t xml:space="preserve">5L </t>
    </r>
    <r>
      <rPr>
        <sz val="11"/>
        <color rgb="FF000000"/>
        <rFont val="Linux Libertine G"/>
        <family val="2"/>
      </rPr>
      <t xml:space="preserve">豪华车（单车毛利约 </t>
    </r>
    <r>
      <rPr>
        <sz val="11"/>
        <color rgb="FF000000"/>
        <rFont val="Arial"/>
        <family val="0"/>
        <charset val="1"/>
      </rPr>
      <t xml:space="preserve">$7–9K</t>
    </r>
    <r>
      <rPr>
        <sz val="11"/>
        <color rgb="FF000000"/>
        <rFont val="Linux Libertine G"/>
        <family val="2"/>
      </rPr>
      <t xml:space="preserve">）；不选 </t>
    </r>
    <r>
      <rPr>
        <sz val="11"/>
        <color rgb="FF000000"/>
        <rFont val="Arial"/>
        <family val="0"/>
        <charset val="1"/>
      </rPr>
      <t xml:space="preserve">AEV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2M Minivan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3U Utility</t>
    </r>
  </si>
  <si>
    <t xml:space="preserve">债券</t>
  </si>
  <si>
    <r>
      <rPr>
        <sz val="11"/>
        <color rgb="FF000000"/>
        <rFont val="Linux Libertine G"/>
        <family val="2"/>
      </rPr>
      <t xml:space="preserve">出现 </t>
    </r>
    <r>
      <rPr>
        <sz val="11"/>
        <color rgb="FF000000"/>
        <rFont val="Linux Libertine G"/>
        <family val="2"/>
        <charset val="1"/>
      </rPr>
      <t xml:space="preserve">callable </t>
    </r>
    <r>
      <rPr>
        <sz val="11"/>
        <color rgb="FF000000"/>
        <rFont val="Linux Libertine G"/>
        <family val="2"/>
      </rPr>
      <t xml:space="preserve">就用增发的钱赎回</t>
    </r>
  </si>
  <si>
    <t xml:space="preserve">现金多了</t>
  </si>
  <si>
    <r>
      <rPr>
        <sz val="11"/>
        <color rgb="FF000000"/>
        <rFont val="Linux Libertine G"/>
        <family val="2"/>
      </rPr>
      <t xml:space="preserve">买 </t>
    </r>
    <r>
      <rPr>
        <sz val="11"/>
        <color rgb="FF000000"/>
        <rFont val="Linux Libertine G"/>
        <family val="2"/>
        <charset val="1"/>
      </rPr>
      <t xml:space="preserve">CD</t>
    </r>
    <r>
      <rPr>
        <sz val="11"/>
        <color rgb="FF000000"/>
        <rFont val="Linux Libertine G"/>
        <family val="2"/>
      </rPr>
      <t xml:space="preserve">（最多 </t>
    </r>
    <r>
      <rPr>
        <sz val="11"/>
        <color rgb="FF000000"/>
        <rFont val="Linux Libertine G"/>
        <family val="2"/>
        <charset val="1"/>
      </rPr>
      <t xml:space="preserve">$10B</t>
    </r>
    <r>
      <rPr>
        <sz val="11"/>
        <color rgb="FF000000"/>
        <rFont val="Linux Libertine G"/>
        <family val="2"/>
      </rPr>
      <t xml:space="preserve">）；分红的效果没测过</t>
    </r>
  </si>
  <si>
    <t xml:space="preserve">对手</t>
  </si>
  <si>
    <r>
      <rPr>
        <sz val="11"/>
        <color rgb="FF000000"/>
        <rFont val="Linux Libertine G"/>
        <family val="2"/>
      </rPr>
      <t xml:space="preserve">盯住 </t>
    </r>
    <r>
      <rPr>
        <sz val="11"/>
        <color rgb="FF000000"/>
        <rFont val="Linux Libertine G"/>
        <family val="2"/>
        <charset val="1"/>
      </rPr>
      <t xml:space="preserve">F </t>
    </r>
    <r>
      <rPr>
        <sz val="11"/>
        <color rgb="FF000000"/>
        <rFont val="Linux Libertine G"/>
        <family val="2"/>
      </rPr>
      <t xml:space="preserve">的 </t>
    </r>
    <r>
      <rPr>
        <sz val="11"/>
        <color rgb="FF000000"/>
        <rFont val="Linux Libertine G"/>
        <family val="2"/>
        <charset val="1"/>
      </rPr>
      <t xml:space="preserve">Utility </t>
    </r>
    <r>
      <rPr>
        <sz val="11"/>
        <color rgb="FF000000"/>
        <rFont val="Linux Libertine G"/>
        <family val="2"/>
      </rPr>
      <t xml:space="preserve">车，会来抢 </t>
    </r>
    <r>
      <rPr>
        <sz val="11"/>
        <color rgb="FF000000"/>
        <rFont val="Linux Libertine G"/>
        <family val="2"/>
        <charset val="1"/>
      </rPr>
      <t xml:space="preserve">Canyon </t>
    </r>
    <r>
      <rPr>
        <sz val="11"/>
        <color rgb="FF000000"/>
        <rFont val="Linux Libertine G"/>
        <family val="2"/>
      </rPr>
      <t xml:space="preserve">的 </t>
    </r>
    <r>
      <rPr>
        <sz val="11"/>
        <color rgb="FF000000"/>
        <rFont val="Linux Libertine G"/>
        <family val="2"/>
        <charset val="1"/>
      </rPr>
      <t xml:space="preserve">5U / 3U [</t>
    </r>
    <r>
      <rPr>
        <sz val="11"/>
        <color rgb="FF000000"/>
        <rFont val="Linux Libertine G"/>
        <family val="2"/>
      </rPr>
      <t xml:space="preserve">推断</t>
    </r>
    <r>
      <rPr>
        <sz val="11"/>
        <color rgb="FF000000"/>
        <rFont val="Linux Libertine G"/>
        <family val="2"/>
        <charset val="1"/>
      </rPr>
      <t xml:space="preserve">]</t>
    </r>
  </si>
  <si>
    <r>
      <rPr>
        <b val="true"/>
        <sz val="14"/>
        <rFont val="Arial"/>
        <family val="0"/>
        <charset val="1"/>
      </rPr>
      <t xml:space="preserve">Firm C · StratSim </t>
    </r>
    <r>
      <rPr>
        <b val="true"/>
        <sz val="14"/>
        <rFont val="Linux Libertine G"/>
        <family val="2"/>
      </rPr>
      <t xml:space="preserve">每年做了什么（练习 </t>
    </r>
    <r>
      <rPr>
        <b val="true"/>
        <sz val="14"/>
        <rFont val="Arial"/>
        <family val="0"/>
        <charset val="1"/>
      </rPr>
      <t xml:space="preserve">Y1–Y4 + </t>
    </r>
    <r>
      <rPr>
        <b val="true"/>
        <sz val="14"/>
        <rFont val="Linux Libertine G"/>
        <family val="2"/>
      </rPr>
      <t xml:space="preserve">正式比赛）</t>
    </r>
  </si>
  <si>
    <r>
      <rPr>
        <i val="true"/>
        <sz val="11"/>
        <color rgb="FF595959"/>
        <rFont val="Arial"/>
        <family val="0"/>
        <charset val="1"/>
      </rPr>
      <t xml:space="preserve">Year 1–4 </t>
    </r>
    <r>
      <rPr>
        <i val="true"/>
        <sz val="11"/>
        <color rgb="FF595959"/>
        <rFont val="Linux Libertine G"/>
        <family val="2"/>
      </rPr>
      <t xml:space="preserve">都已出结果（</t>
    </r>
    <r>
      <rPr>
        <i val="true"/>
        <sz val="11"/>
        <color rgb="FF595959"/>
        <rFont val="Arial"/>
        <family val="0"/>
        <charset val="1"/>
      </rPr>
      <t xml:space="preserve">Y4 </t>
    </r>
    <r>
      <rPr>
        <i val="true"/>
        <sz val="11"/>
        <color rgb="FF595959"/>
        <rFont val="Linux Libertine G"/>
        <family val="2"/>
      </rPr>
      <t xml:space="preserve">于 </t>
    </r>
    <r>
      <rPr>
        <i val="true"/>
        <sz val="11"/>
        <color rgb="FF595959"/>
        <rFont val="Arial"/>
        <family val="0"/>
        <charset val="1"/>
      </rPr>
      <t xml:space="preserve">10/6 </t>
    </r>
    <r>
      <rPr>
        <i val="true"/>
        <sz val="11"/>
        <color rgb="FF595959"/>
        <rFont val="Linux Libertine G"/>
        <family val="2"/>
      </rPr>
      <t xml:space="preserve">出）。黄色列是 </t>
    </r>
    <r>
      <rPr>
        <i val="true"/>
        <sz val="11"/>
        <color rgb="FF595959"/>
        <rFont val="Arial"/>
        <family val="0"/>
        <charset val="1"/>
      </rPr>
      <t xml:space="preserve">Year 4</t>
    </r>
    <r>
      <rPr>
        <i val="true"/>
        <sz val="11"/>
        <color rgb="FF595959"/>
        <rFont val="Linux Libertine G"/>
        <family val="2"/>
      </rPr>
      <t xml:space="preserve">。每一行最后一列是一句话点评。 </t>
    </r>
    <r>
      <rPr>
        <i val="true"/>
        <sz val="11"/>
        <color rgb="FF595959"/>
        <rFont val="Arial"/>
        <family val="0"/>
        <charset val="1"/>
      </rPr>
      <t xml:space="preserve">G </t>
    </r>
    <r>
      <rPr>
        <i val="true"/>
        <sz val="11"/>
        <color rgb="FF595959"/>
        <rFont val="Linux Libertine G"/>
        <family val="2"/>
      </rPr>
      <t xml:space="preserve">列是正式比赛 </t>
    </r>
    <r>
      <rPr>
        <i val="true"/>
        <sz val="11"/>
        <color rgb="FF595959"/>
        <rFont val="Arial"/>
        <family val="0"/>
        <charset val="1"/>
      </rPr>
      <t xml:space="preserve">Year 1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Arial"/>
        <family val="0"/>
        <charset val="1"/>
      </rPr>
      <t xml:space="preserve">10/11 </t>
    </r>
    <r>
      <rPr>
        <i val="true"/>
        <sz val="11"/>
        <color rgb="FF595959"/>
        <rFont val="Linux Libertine G"/>
        <family val="2"/>
      </rPr>
      <t xml:space="preserve">已保存，</t>
    </r>
    <r>
      <rPr>
        <i val="true"/>
        <sz val="11"/>
        <color rgb="FF595959"/>
        <rFont val="Arial"/>
        <family val="0"/>
        <charset val="1"/>
      </rPr>
      <t xml:space="preserve">10/14 </t>
    </r>
    <r>
      <rPr>
        <i val="true"/>
        <sz val="11"/>
        <color rgb="FF595959"/>
        <rFont val="Linux Libertine G"/>
        <family val="2"/>
      </rPr>
      <t xml:space="preserve">截止后出结果）。 </t>
    </r>
    <r>
      <rPr>
        <i val="true"/>
        <sz val="11"/>
        <color rgb="FF595959"/>
        <rFont val="Arial"/>
        <family val="0"/>
        <charset val="1"/>
      </rPr>
      <t xml:space="preserve">H </t>
    </r>
    <r>
      <rPr>
        <i val="true"/>
        <sz val="11"/>
        <color rgb="FF595959"/>
        <rFont val="Linux Libertine G"/>
        <family val="2"/>
      </rPr>
      <t xml:space="preserve">列是正式比赛 </t>
    </r>
    <r>
      <rPr>
        <i val="true"/>
        <sz val="11"/>
        <color rgb="FF595959"/>
        <rFont val="Arial"/>
        <family val="0"/>
        <charset val="1"/>
      </rPr>
      <t xml:space="preserve">Year 2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Arial"/>
        <family val="0"/>
        <charset val="1"/>
      </rPr>
      <t xml:space="preserve">10/16 </t>
    </r>
    <r>
      <rPr>
        <i val="true"/>
        <sz val="11"/>
        <color rgb="FF595959"/>
        <rFont val="Linux Libertine G"/>
        <family val="2"/>
      </rPr>
      <t xml:space="preserve">保存）。 </t>
    </r>
    <r>
      <rPr>
        <i val="true"/>
        <sz val="11"/>
        <color rgb="FF595959"/>
        <rFont val="Arial"/>
        <family val="0"/>
        <charset val="1"/>
      </rPr>
      <t xml:space="preserve">I </t>
    </r>
    <r>
      <rPr>
        <i val="true"/>
        <sz val="11"/>
        <color rgb="FF595959"/>
        <rFont val="Linux Libertine G"/>
        <family val="2"/>
      </rPr>
      <t xml:space="preserve">列是正式比赛 </t>
    </r>
    <r>
      <rPr>
        <i val="true"/>
        <sz val="11"/>
        <color rgb="FF595959"/>
        <rFont val="Arial"/>
        <family val="0"/>
        <charset val="1"/>
      </rPr>
      <t xml:space="preserve">Year 3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Arial"/>
        <family val="0"/>
        <charset val="1"/>
      </rPr>
      <t xml:space="preserve">10/17 </t>
    </r>
    <r>
      <rPr>
        <i val="true"/>
        <sz val="11"/>
        <color rgb="FF595959"/>
        <rFont val="Linux Libertine G"/>
        <family val="2"/>
      </rPr>
      <t xml:space="preserve">保存）。</t>
    </r>
  </si>
  <si>
    <t xml:space="preserve">Year 1</t>
  </si>
  <si>
    <t xml:space="preserve">Year 2</t>
  </si>
  <si>
    <t xml:space="preserve">Year 3</t>
  </si>
  <si>
    <t xml:space="preserve">Year 4</t>
  </si>
  <si>
    <t xml:space="preserve">一句话点评</t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</si>
  <si>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Y1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10/11 </t>
    </r>
    <r>
      <rPr>
        <b val="true"/>
        <sz val="11"/>
        <color rgb="FFFFFFFF"/>
        <rFont val="Linux Libertine G"/>
        <family val="2"/>
      </rPr>
      <t xml:space="preserve">保存）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</si>
  <si>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Y2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10/16 </t>
    </r>
    <r>
      <rPr>
        <b val="true"/>
        <sz val="11"/>
        <color rgb="FFFFFFFF"/>
        <rFont val="Linux Libertine G"/>
        <family val="2"/>
      </rPr>
      <t xml:space="preserve">保存）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</si>
  <si>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Y3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10/17 </t>
    </r>
    <r>
      <rPr>
        <b val="true"/>
        <sz val="11"/>
        <color rgb="FFFFFFFF"/>
        <rFont val="Linux Libertine G"/>
        <family val="2"/>
      </rPr>
      <t xml:space="preserve">保存）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</si>
  <si>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Y4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10/25 </t>
    </r>
    <r>
      <rPr>
        <b val="true"/>
        <sz val="11"/>
        <color rgb="FFFFFFFF"/>
        <rFont val="Linux Libertine G"/>
        <family val="2"/>
      </rPr>
      <t xml:space="preserve">保存，同日复查后修改）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</si>
  <si>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Y5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10/27 </t>
    </r>
    <r>
      <rPr>
        <b val="true"/>
        <sz val="11"/>
        <color rgb="FFFFFFFF"/>
        <rFont val="Linux Libertine G"/>
        <family val="2"/>
      </rPr>
      <t xml:space="preserve">保存）</t>
    </r>
  </si>
  <si>
    <r>
      <rPr>
        <b val="true"/>
        <sz val="11"/>
        <color rgb="FF1F3864"/>
        <rFont val="Linux Libertine G"/>
        <family val="2"/>
      </rPr>
      <t xml:space="preserve">调研（每年必买：自己细分市场的 </t>
    </r>
    <r>
      <rPr>
        <b val="true"/>
        <sz val="11"/>
        <color rgb="FF1F3864"/>
        <rFont val="Linux Libertine G"/>
        <family val="2"/>
        <charset val="1"/>
      </rPr>
      <t xml:space="preserve">Microsegment + Focus Group</t>
    </r>
    <r>
      <rPr>
        <b val="true"/>
        <sz val="11"/>
        <color rgb="FF1F3864"/>
        <rFont val="Linux Libertine G"/>
        <family val="2"/>
      </rPr>
      <t xml:space="preserve">）</t>
    </r>
  </si>
  <si>
    <t xml:space="preserve">买了哪些报告</t>
  </si>
  <si>
    <t xml:space="preserve">没买（违反要求）</t>
  </si>
  <si>
    <r>
      <rPr>
        <sz val="11"/>
        <rFont val="Arial"/>
        <family val="0"/>
        <charset val="1"/>
      </rPr>
      <t xml:space="preserve">12 </t>
    </r>
    <r>
      <rPr>
        <sz val="11"/>
        <rFont val="Linux Libertine G"/>
        <family val="2"/>
      </rPr>
      <t xml:space="preserve">份 </t>
    </r>
    <r>
      <rPr>
        <sz val="11"/>
        <rFont val="Arial"/>
        <family val="0"/>
        <charset val="1"/>
      </rPr>
      <t xml:space="preserve">Microsegment + 4 </t>
    </r>
    <r>
      <rPr>
        <sz val="11"/>
        <rFont val="Linux Libertine G"/>
        <family val="2"/>
      </rPr>
      <t xml:space="preserve">份 </t>
    </r>
    <r>
      <rPr>
        <sz val="11"/>
        <rFont val="Arial"/>
        <family val="0"/>
        <charset val="1"/>
      </rPr>
      <t xml:space="preserve">Focus Group + 7 </t>
    </r>
    <r>
      <rPr>
        <sz val="11"/>
        <rFont val="Linux Libertine G"/>
        <family val="2"/>
      </rPr>
      <t xml:space="preserve">次 </t>
    </r>
    <r>
      <rPr>
        <sz val="11"/>
        <rFont val="Arial"/>
        <family val="0"/>
        <charset val="1"/>
      </rPr>
      <t xml:space="preserve">Test Market</t>
    </r>
  </si>
  <si>
    <r>
      <rPr>
        <sz val="11"/>
        <rFont val="Arial"/>
        <family val="0"/>
        <charset val="1"/>
      </rPr>
      <t xml:space="preserve">12 </t>
    </r>
    <r>
      <rPr>
        <sz val="11"/>
        <rFont val="Linux Libertine G"/>
        <family val="2"/>
      </rPr>
      <t xml:space="preserve">份 </t>
    </r>
    <r>
      <rPr>
        <sz val="11"/>
        <rFont val="Arial"/>
        <family val="0"/>
        <charset val="1"/>
      </rPr>
      <t xml:space="preserve">Microsegment + 4 </t>
    </r>
    <r>
      <rPr>
        <sz val="11"/>
        <rFont val="Linux Libertine G"/>
        <family val="2"/>
      </rPr>
      <t xml:space="preserve">份 </t>
    </r>
    <r>
      <rPr>
        <sz val="11"/>
        <rFont val="Arial"/>
        <family val="0"/>
        <charset val="1"/>
      </rPr>
      <t xml:space="preserve">Focus Group + 10 </t>
    </r>
    <r>
      <rPr>
        <sz val="11"/>
        <rFont val="Linux Libertine G"/>
        <family val="2"/>
      </rPr>
      <t xml:space="preserve">次 </t>
    </r>
    <r>
      <rPr>
        <sz val="11"/>
        <rFont val="Arial"/>
        <family val="0"/>
        <charset val="1"/>
      </rPr>
      <t xml:space="preserve">Test Market + 10 </t>
    </r>
    <r>
      <rPr>
        <sz val="11"/>
        <rFont val="Linux Libertine G"/>
        <family val="2"/>
      </rPr>
      <t xml:space="preserve">次 </t>
    </r>
    <r>
      <rPr>
        <sz val="11"/>
        <rFont val="Arial"/>
        <family val="0"/>
        <charset val="1"/>
      </rPr>
      <t xml:space="preserve">Concept Test + 3 </t>
    </r>
    <r>
      <rPr>
        <sz val="11"/>
        <rFont val="Linux Libertine G"/>
        <family val="2"/>
      </rPr>
      <t xml:space="preserve">份 </t>
    </r>
    <r>
      <rPr>
        <sz val="11"/>
        <rFont val="Arial"/>
        <family val="0"/>
        <charset val="1"/>
      </rPr>
      <t xml:space="preserve">Sales by Microsegment</t>
    </r>
  </si>
  <si>
    <r>
      <rPr>
        <sz val="11"/>
        <rFont val="Arial"/>
        <family val="0"/>
        <charset val="1"/>
      </rPr>
      <t xml:space="preserve">5 </t>
    </r>
    <r>
      <rPr>
        <sz val="11"/>
        <rFont val="Linux Libertine G"/>
        <family val="2"/>
      </rPr>
      <t xml:space="preserve">份 </t>
    </r>
    <r>
      <rPr>
        <sz val="11"/>
        <rFont val="Arial"/>
        <family val="0"/>
        <charset val="1"/>
      </rPr>
      <t xml:space="preserve">Microsegment + 5 </t>
    </r>
    <r>
      <rPr>
        <sz val="11"/>
        <rFont val="Linux Libertine G"/>
        <family val="2"/>
      </rPr>
      <t xml:space="preserve">份 </t>
    </r>
    <r>
      <rPr>
        <sz val="11"/>
        <rFont val="Arial"/>
        <family val="0"/>
        <charset val="1"/>
      </rPr>
      <t xml:space="preserve">Focus Group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1E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2E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2F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3T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5U</t>
    </r>
    <r>
      <rPr>
        <sz val="11"/>
        <rFont val="Linux Libertine G"/>
        <family val="2"/>
      </rPr>
      <t xml:space="preserve">）</t>
    </r>
    <r>
      <rPr>
        <sz val="11"/>
        <rFont val="Arial"/>
        <family val="0"/>
        <charset val="1"/>
      </rPr>
      <t xml:space="preserve">+ 10 </t>
    </r>
    <r>
      <rPr>
        <sz val="11"/>
        <rFont val="Linux Libertine G"/>
        <family val="2"/>
      </rPr>
      <t xml:space="preserve">次 </t>
    </r>
    <r>
      <rPr>
        <sz val="11"/>
        <rFont val="Arial"/>
        <family val="0"/>
        <charset val="1"/>
      </rPr>
      <t xml:space="preserve">Concept Test + 10 </t>
    </r>
    <r>
      <rPr>
        <sz val="11"/>
        <rFont val="Linux Libertine G"/>
        <family val="2"/>
      </rPr>
      <t xml:space="preserve">次 </t>
    </r>
    <r>
      <rPr>
        <sz val="11"/>
        <rFont val="Arial"/>
        <family val="0"/>
        <charset val="1"/>
      </rPr>
      <t xml:space="preserve">Test Market</t>
    </r>
  </si>
  <si>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起测试做满；</t>
    </r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Test Market </t>
    </r>
    <r>
      <rPr>
        <sz val="11"/>
        <rFont val="Linux Libertine G"/>
        <family val="2"/>
      </rPr>
      <t xml:space="preserve">推翻了 </t>
    </r>
    <r>
      <rPr>
        <sz val="11"/>
        <rFont val="Arial"/>
        <family val="0"/>
        <charset val="1"/>
      </rPr>
      <t xml:space="preserve">Crash </t>
    </r>
    <r>
      <rPr>
        <sz val="11"/>
        <rFont val="Linux Libertine G"/>
        <family val="2"/>
      </rPr>
      <t xml:space="preserve">降价</t>
    </r>
  </si>
  <si>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份 </t>
    </r>
    <r>
      <rPr>
        <sz val="11"/>
        <rFont val="Linux Libertine G"/>
        <family val="2"/>
        <charset val="1"/>
      </rPr>
      <t xml:space="preserve">Microsegment + 5 </t>
    </r>
    <r>
      <rPr>
        <sz val="11"/>
        <rFont val="Linux Libertine G"/>
        <family val="2"/>
      </rPr>
      <t xml:space="preserve">份 </t>
    </r>
    <r>
      <rPr>
        <sz val="11"/>
        <rFont val="Linux Libertine G"/>
        <family val="2"/>
        <charset val="1"/>
      </rPr>
      <t xml:space="preserve">Focus Group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2F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3T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5U</t>
    </r>
    <r>
      <rPr>
        <sz val="11"/>
        <rFont val="Linux Libertine G"/>
        <family val="2"/>
      </rPr>
      <t xml:space="preserve">）</t>
    </r>
    <r>
      <rPr>
        <sz val="11"/>
        <rFont val="Linux Libertine G"/>
        <family val="2"/>
        <charset val="1"/>
      </rPr>
      <t xml:space="preserve">+ 10 </t>
    </r>
    <r>
      <rPr>
        <sz val="11"/>
        <rFont val="Linux Libertine G"/>
        <family val="2"/>
      </rPr>
      <t xml:space="preserve">次 </t>
    </r>
    <r>
      <rPr>
        <sz val="11"/>
        <rFont val="Linux Libertine G"/>
        <family val="2"/>
        <charset val="1"/>
      </rPr>
      <t xml:space="preserve">Concept Test + 10 </t>
    </r>
    <r>
      <rPr>
        <sz val="11"/>
        <rFont val="Linux Libertine G"/>
        <family val="2"/>
      </rPr>
      <t xml:space="preserve">次 </t>
    </r>
    <r>
      <rPr>
        <sz val="11"/>
        <rFont val="Linux Libertine G"/>
        <family val="2"/>
        <charset val="1"/>
      </rPr>
      <t xml:space="preserve">Test Market</t>
    </r>
  </si>
  <si>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份 </t>
    </r>
    <r>
      <rPr>
        <sz val="11"/>
        <rFont val="Linux Libertine G"/>
        <family val="2"/>
        <charset val="1"/>
      </rPr>
      <t xml:space="preserve">Microsegment + 5 </t>
    </r>
    <r>
      <rPr>
        <sz val="11"/>
        <rFont val="Linux Libertine G"/>
        <family val="2"/>
      </rPr>
      <t xml:space="preserve">份 </t>
    </r>
    <r>
      <rPr>
        <sz val="11"/>
        <rFont val="Linux Libertine G"/>
        <family val="2"/>
        <charset val="1"/>
      </rPr>
      <t xml:space="preserve">Focus Group + 10 </t>
    </r>
    <r>
      <rPr>
        <sz val="11"/>
        <rFont val="Linux Libertine G"/>
        <family val="2"/>
      </rPr>
      <t xml:space="preserve">次 </t>
    </r>
    <r>
      <rPr>
        <sz val="11"/>
        <rFont val="Linux Libertine G"/>
        <family val="2"/>
        <charset val="1"/>
      </rPr>
      <t xml:space="preserve">Concept Test + 10 </t>
    </r>
    <r>
      <rPr>
        <sz val="11"/>
        <rFont val="Linux Libertine G"/>
        <family val="2"/>
      </rPr>
      <t xml:space="preserve">次 </t>
    </r>
    <r>
      <rPr>
        <sz val="11"/>
        <rFont val="Linux Libertine G"/>
        <family val="2"/>
        <charset val="1"/>
      </rPr>
      <t xml:space="preserve">Test Market</t>
    </r>
  </si>
  <si>
    <r>
      <rPr>
        <sz val="11"/>
        <rFont val="Linux Libertine G"/>
        <family val="2"/>
        <charset val="1"/>
      </rPr>
      <t xml:space="preserve">Microsegment + Focus Group 8 </t>
    </r>
    <r>
      <rPr>
        <sz val="11"/>
        <rFont val="Linux Libertine G"/>
        <family val="2"/>
      </rPr>
      <t xml:space="preserve">份（加 </t>
    </r>
    <r>
      <rPr>
        <sz val="11"/>
        <rFont val="Linux Libertine G"/>
        <family val="2"/>
        <charset val="1"/>
      </rPr>
      <t xml:space="preserve">3U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4F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5L</t>
    </r>
    <r>
      <rPr>
        <sz val="11"/>
        <rFont val="Linux Libertine G"/>
        <family val="2"/>
      </rPr>
      <t xml:space="preserve">）</t>
    </r>
    <r>
      <rPr>
        <sz val="11"/>
        <rFont val="Linux Libertine G"/>
        <family val="2"/>
        <charset val="1"/>
      </rPr>
      <t xml:space="preserve">+ Sales by Microsegment 3 </t>
    </r>
    <r>
      <rPr>
        <sz val="11"/>
        <rFont val="Linux Libertine G"/>
        <family val="2"/>
      </rPr>
      <t xml:space="preserve">份 </t>
    </r>
    <r>
      <rPr>
        <sz val="11"/>
        <rFont val="Linux Libertine G"/>
        <family val="2"/>
        <charset val="1"/>
      </rPr>
      <t xml:space="preserve">+ 10 </t>
    </r>
    <r>
      <rPr>
        <sz val="11"/>
        <rFont val="Linux Libertine G"/>
        <family val="2"/>
      </rPr>
      <t xml:space="preserve">次 </t>
    </r>
    <r>
      <rPr>
        <sz val="11"/>
        <rFont val="Linux Libertine G"/>
        <family val="2"/>
        <charset val="1"/>
      </rPr>
      <t xml:space="preserve">Concept Test + 10 </t>
    </r>
    <r>
      <rPr>
        <sz val="11"/>
        <rFont val="Linux Libertine G"/>
        <family val="2"/>
      </rPr>
      <t xml:space="preserve">次 </t>
    </r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（各留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次测最终组合）</t>
    </r>
  </si>
  <si>
    <r>
      <rPr>
        <sz val="11"/>
        <rFont val="Linux Libertine G"/>
        <family val="2"/>
        <charset val="1"/>
      </rPr>
      <t xml:space="preserve">Microsegment + Focus Group </t>
    </r>
    <r>
      <rPr>
        <sz val="11"/>
        <rFont val="Linux Libertine G"/>
        <family val="2"/>
      </rPr>
      <t xml:space="preserve">各 </t>
    </r>
    <r>
      <rPr>
        <sz val="11"/>
        <rFont val="Linux Libertine G"/>
        <family val="2"/>
        <charset val="1"/>
      </rPr>
      <t xml:space="preserve">11 </t>
    </r>
    <r>
      <rPr>
        <sz val="11"/>
        <rFont val="Linux Libertine G"/>
        <family val="2"/>
      </rPr>
      <t xml:space="preserve">份（除 </t>
    </r>
    <r>
      <rPr>
        <sz val="11"/>
        <rFont val="Linux Libertine G"/>
        <family val="2"/>
        <charset val="1"/>
      </rPr>
      <t xml:space="preserve">2M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Test Market 10 </t>
    </r>
    <r>
      <rPr>
        <sz val="11"/>
        <rFont val="Linux Libertine G"/>
        <family val="2"/>
      </rPr>
      <t xml:space="preserve">次；</t>
    </r>
    <r>
      <rPr>
        <sz val="11"/>
        <rFont val="Linux Libertine G"/>
        <family val="2"/>
        <charset val="1"/>
      </rPr>
      <t xml:space="preserve">Concept Test 10 </t>
    </r>
    <r>
      <rPr>
        <sz val="11"/>
        <rFont val="Linux Libertine G"/>
        <family val="2"/>
      </rPr>
      <t xml:space="preserve">次（第 </t>
    </r>
    <r>
      <rPr>
        <sz val="11"/>
        <rFont val="Linux Libertine G"/>
        <family val="2"/>
        <charset val="1"/>
      </rPr>
      <t xml:space="preserve">10 </t>
    </r>
    <r>
      <rPr>
        <sz val="11"/>
        <rFont val="Linux Libertine G"/>
        <family val="2"/>
      </rPr>
      <t xml:space="preserve">次测 </t>
    </r>
    <r>
      <rPr>
        <sz val="11"/>
        <rFont val="Linux Libertine G"/>
        <family val="2"/>
        <charset val="1"/>
      </rPr>
      <t xml:space="preserve">Cosmo $40K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</si>
  <si>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Microsegment + Focus Group </t>
    </r>
    <r>
      <rPr>
        <sz val="11"/>
        <rFont val="Linux Libertine G"/>
        <family val="2"/>
      </rPr>
      <t xml:space="preserve">各 </t>
    </r>
    <r>
      <rPr>
        <sz val="11"/>
        <rFont val="Linux Libertine G"/>
        <family val="2"/>
        <charset val="1"/>
      </rPr>
      <t xml:space="preserve">11 </t>
    </r>
    <r>
      <rPr>
        <sz val="11"/>
        <rFont val="Linux Libertine G"/>
        <family val="2"/>
      </rPr>
      <t xml:space="preserve">份（除 </t>
    </r>
    <r>
      <rPr>
        <sz val="11"/>
        <rFont val="Linux Libertine G"/>
        <family val="2"/>
        <charset val="1"/>
      </rPr>
      <t xml:space="preserve">2M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Concept Test 9 </t>
    </r>
    <r>
      <rPr>
        <sz val="11"/>
        <rFont val="Linux Libertine G"/>
        <family val="2"/>
      </rPr>
      <t xml:space="preserve">次；</t>
    </r>
    <r>
      <rPr>
        <sz val="11"/>
        <rFont val="Linux Libertine G"/>
        <family val="2"/>
        <charset val="1"/>
      </rPr>
      <t xml:space="preserve">Test Market 10 </t>
    </r>
    <r>
      <rPr>
        <sz val="11"/>
        <rFont val="Linux Libertine G"/>
        <family val="2"/>
      </rPr>
      <t xml:space="preserve">次（已用完）；</t>
    </r>
    <r>
      <rPr>
        <sz val="11"/>
        <rFont val="Linux Libertine G"/>
        <family val="2"/>
        <charset val="1"/>
      </rPr>
      <t xml:space="preserve">10/28 </t>
    </r>
    <r>
      <rPr>
        <sz val="11"/>
        <rFont val="Linux Libertine G"/>
        <family val="2"/>
      </rPr>
      <t xml:space="preserve">加的 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营销没测</t>
    </r>
  </si>
  <si>
    <t xml:space="preserve">研发中心（每个中心每年都要放项目）</t>
  </si>
  <si>
    <t xml:space="preserve">能用的中心数</t>
  </si>
  <si>
    <t xml:space="preserve">2</t>
  </si>
  <si>
    <r>
      <rPr>
        <sz val="11"/>
        <rFont val="Arial"/>
        <family val="0"/>
        <charset val="1"/>
      </rPr>
      <t xml:space="preserve">2</t>
    </r>
    <r>
      <rPr>
        <sz val="11"/>
        <rFont val="Linux Libertine G"/>
        <family val="2"/>
      </rPr>
      <t xml:space="preserve">（第 </t>
    </r>
    <r>
      <rPr>
        <sz val="11"/>
        <rFont val="Arial"/>
        <family val="0"/>
        <charset val="1"/>
      </rPr>
      <t xml:space="preserve">3 </t>
    </r>
    <r>
      <rPr>
        <sz val="11"/>
        <rFont val="Linux Libertine G"/>
        <family val="2"/>
      </rPr>
      <t xml:space="preserve">个在建）</t>
    </r>
  </si>
  <si>
    <r>
      <rPr>
        <sz val="11"/>
        <rFont val="Arial"/>
        <family val="0"/>
        <charset val="1"/>
      </rPr>
      <t xml:space="preserve">3</t>
    </r>
    <r>
      <rPr>
        <sz val="11"/>
        <rFont val="Linux Libertine G"/>
        <family val="2"/>
      </rPr>
      <t xml:space="preserve">（第 </t>
    </r>
    <r>
      <rPr>
        <sz val="11"/>
        <rFont val="Arial"/>
        <family val="0"/>
        <charset val="1"/>
      </rPr>
      <t xml:space="preserve">4 </t>
    </r>
    <r>
      <rPr>
        <sz val="11"/>
        <rFont val="Linux Libertine G"/>
        <family val="2"/>
      </rPr>
      <t xml:space="preserve">个在建）</t>
    </r>
  </si>
  <si>
    <t xml:space="preserve">4</t>
  </si>
  <si>
    <t xml:space="preserve">新中心今年建、明年才能用</t>
  </si>
  <si>
    <r>
      <rPr>
        <sz val="11"/>
        <rFont val="Arial"/>
        <family val="0"/>
        <charset val="1"/>
      </rPr>
      <t xml:space="preserve">4</t>
    </r>
    <r>
      <rPr>
        <sz val="11"/>
        <rFont val="Linux Libertine G"/>
        <family val="2"/>
      </rPr>
      <t xml:space="preserve">（第 </t>
    </r>
    <r>
      <rPr>
        <sz val="11"/>
        <rFont val="Arial"/>
        <family val="0"/>
        <charset val="1"/>
      </rPr>
      <t xml:space="preserve">5 </t>
    </r>
    <r>
      <rPr>
        <sz val="11"/>
        <rFont val="Linux Libertine G"/>
        <family val="2"/>
      </rPr>
      <t xml:space="preserve">个在建，</t>
    </r>
    <r>
      <rPr>
        <sz val="11"/>
        <rFont val="Arial"/>
        <family val="0"/>
        <charset val="1"/>
      </rPr>
      <t xml:space="preserve">$643M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</si>
  <si>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5</t>
    </r>
    <r>
      <rPr>
        <sz val="11"/>
        <rFont val="Linux Libertine G"/>
        <family val="2"/>
      </rPr>
      <t xml:space="preserve">（全部在用）</t>
    </r>
  </si>
  <si>
    <r>
      <rPr>
        <b val="true"/>
        <sz val="11"/>
        <rFont val="Linux Libertine G"/>
        <family val="2"/>
      </rPr>
      <t xml:space="preserve">中心 </t>
    </r>
    <r>
      <rPr>
        <b val="true"/>
        <sz val="11"/>
        <rFont val="Linux Libertine G"/>
        <family val="2"/>
        <charset val="1"/>
      </rPr>
      <t xml:space="preserve">1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</si>
  <si>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开始开发（</t>
    </r>
    <r>
      <rPr>
        <sz val="11"/>
        <rFont val="Arial"/>
        <family val="0"/>
        <charset val="1"/>
      </rPr>
      <t xml:space="preserve">Utility </t>
    </r>
    <r>
      <rPr>
        <sz val="11"/>
        <rFont val="Linux Libertine G"/>
        <family val="2"/>
      </rPr>
      <t xml:space="preserve">新车）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</si>
  <si>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继续开发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</si>
  <si>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上市：</t>
    </r>
    <r>
      <rPr>
        <sz val="11"/>
        <rFont val="Arial"/>
        <family val="0"/>
        <charset val="1"/>
      </rPr>
      <t xml:space="preserve">64 / 200 HP</t>
    </r>
  </si>
  <si>
    <r>
      <rPr>
        <sz val="11"/>
        <rFont val="Arial"/>
        <family val="0"/>
        <charset val="1"/>
      </rPr>
      <t xml:space="preserve">Canyon minor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66 / 205 HP</t>
    </r>
  </si>
  <si>
    <r>
      <rPr>
        <sz val="11"/>
        <rFont val="Linux Libertine G"/>
        <family val="2"/>
      </rPr>
      <t xml:space="preserve">提前开发新类别，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进入没人做的 </t>
    </r>
    <r>
      <rPr>
        <sz val="11"/>
        <rFont val="Linux Libertine G"/>
        <family val="2"/>
        <charset val="1"/>
      </rPr>
      <t xml:space="preserve">5U</t>
    </r>
    <r>
      <rPr>
        <sz val="11"/>
        <rFont val="Linux Libertine G"/>
        <family val="2"/>
      </rPr>
      <t xml:space="preserve">，份额 </t>
    </r>
    <r>
      <rPr>
        <sz val="11"/>
        <rFont val="Linux Libertine G"/>
        <family val="2"/>
        <charset val="1"/>
      </rPr>
      <t xml:space="preserve">47.3%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</si>
  <si>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开始开发：</t>
    </r>
    <r>
      <rPr>
        <sz val="11"/>
        <rFont val="Arial"/>
        <family val="0"/>
        <charset val="1"/>
      </rPr>
      <t xml:space="preserve">66 / 245 HP / 3-6-3-5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</si>
  <si>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继续开发（</t>
    </r>
    <r>
      <rPr>
        <sz val="11"/>
        <rFont val="Arial"/>
        <family val="0"/>
        <charset val="1"/>
      </rPr>
      <t xml:space="preserve">66 / 245</t>
    </r>
    <r>
      <rPr>
        <sz val="11"/>
        <rFont val="Linux Libertine G"/>
        <family val="2"/>
      </rPr>
      <t xml:space="preserve">，</t>
    </r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上市）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</si>
  <si>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上市：</t>
    </r>
    <r>
      <rPr>
        <sz val="11"/>
        <rFont val="Arial"/>
        <family val="0"/>
        <charset val="1"/>
      </rPr>
      <t xml:space="preserve">66 / 245 / Styling 7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</si>
  <si>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降成本：</t>
    </r>
    <r>
      <rPr>
        <sz val="11"/>
        <rFont val="Linux Libertine G"/>
        <family val="2"/>
        <charset val="1"/>
      </rPr>
      <t xml:space="preserve">$20,447 → $20,134</t>
    </r>
    <r>
      <rPr>
        <sz val="11"/>
        <rFont val="Linux Libertine G"/>
        <family val="2"/>
      </rPr>
      <t xml:space="preserve">，今年 </t>
    </r>
    <r>
      <rPr>
        <sz val="11"/>
        <rFont val="Linux Libertine G"/>
        <family val="2"/>
        <charset val="1"/>
      </rPr>
      <t xml:space="preserve">$192M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65K </t>
    </r>
    <r>
      <rPr>
        <sz val="11"/>
        <rFont val="Linux Libertine G"/>
        <family val="2"/>
      </rPr>
      <t xml:space="preserve">库存不报废）</t>
    </r>
  </si>
  <si>
    <r>
      <rPr>
        <sz val="11"/>
        <rFont val="Linux Libertine G"/>
        <family val="2"/>
        <charset val="1"/>
      </rPr>
      <t xml:space="preserve">Cafav minor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Safety 5 → 6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Quality 4 → 5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2F </t>
    </r>
    <r>
      <rPr>
        <sz val="11"/>
        <rFont val="Linux Libertine G"/>
        <family val="2"/>
      </rPr>
      <t xml:space="preserve">两个 </t>
    </r>
    <r>
      <rPr>
        <sz val="11"/>
        <rFont val="Linux Libertine G"/>
        <family val="2"/>
        <charset val="1"/>
      </rPr>
      <t xml:space="preserve">hot button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Base Cost $15,137 → $15,270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$197M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56K </t>
    </r>
    <r>
      <rPr>
        <sz val="11"/>
        <rFont val="Linux Libertine G"/>
        <family val="2"/>
      </rPr>
      <t xml:space="preserve">库存报废记 </t>
    </r>
    <r>
      <rPr>
        <sz val="11"/>
        <rFont val="Linux Libertine G"/>
        <family val="2"/>
        <charset val="1"/>
      </rPr>
      <t xml:space="preserve">$89M</t>
    </r>
  </si>
  <si>
    <r>
      <rPr>
        <b val="true"/>
        <sz val="11"/>
        <rFont val="Linux Libertine G"/>
        <family val="2"/>
      </rPr>
      <t xml:space="preserve">中心 </t>
    </r>
    <r>
      <rPr>
        <b val="true"/>
        <sz val="11"/>
        <rFont val="Linux Libertine G"/>
        <family val="2"/>
        <charset val="1"/>
      </rPr>
      <t xml:space="preserve">2</t>
    </r>
  </si>
  <si>
    <r>
      <rPr>
        <sz val="11"/>
        <rFont val="Arial"/>
        <family val="0"/>
        <charset val="1"/>
      </rPr>
      <t xml:space="preserve">Crash </t>
    </r>
    <r>
      <rPr>
        <sz val="11"/>
        <rFont val="Linux Libertine G"/>
        <family val="2"/>
      </rPr>
      <t xml:space="preserve">降成本（单车省 </t>
    </r>
    <r>
      <rPr>
        <sz val="11"/>
        <rFont val="Arial"/>
        <family val="0"/>
        <charset val="1"/>
      </rPr>
      <t xml:space="preserve">$222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</si>
  <si>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Cafav minor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Safety 4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Quality 2</t>
    </r>
  </si>
  <si>
    <r>
      <rPr>
        <sz val="11"/>
        <rFont val="Arial"/>
        <family val="0"/>
        <charset val="1"/>
      </rPr>
      <t xml:space="preserve">Crash major </t>
    </r>
    <r>
      <rPr>
        <sz val="11"/>
        <rFont val="Linux Libertine G"/>
        <family val="2"/>
      </rPr>
      <t xml:space="preserve">开始：</t>
    </r>
    <r>
      <rPr>
        <sz val="11"/>
        <rFont val="Arial"/>
        <family val="0"/>
        <charset val="1"/>
      </rPr>
      <t xml:space="preserve">68 / 200 HP / Styling 4 / Quality 3</t>
    </r>
  </si>
  <si>
    <r>
      <rPr>
        <sz val="11"/>
        <rFont val="Arial"/>
        <family val="0"/>
        <charset val="1"/>
      </rPr>
      <t xml:space="preserve">Crash major </t>
    </r>
    <r>
      <rPr>
        <sz val="11"/>
        <rFont val="Linux Libertine G"/>
        <family val="2"/>
      </rPr>
      <t xml:space="preserve">上市</t>
    </r>
  </si>
  <si>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用中心降成本不划算；</t>
    </r>
    <r>
      <rPr>
        <sz val="11"/>
        <rFont val="Arial"/>
        <family val="0"/>
        <charset val="1"/>
      </rPr>
      <t xml:space="preserve">Y2 </t>
    </r>
    <r>
      <rPr>
        <sz val="11"/>
        <rFont val="Linux Libertine G"/>
        <family val="2"/>
      </rPr>
      <t xml:space="preserve">只改 </t>
    </r>
    <r>
      <rPr>
        <sz val="11"/>
        <rFont val="Arial"/>
        <family val="0"/>
        <charset val="1"/>
      </rPr>
      <t xml:space="preserve">ISSQ </t>
    </r>
    <r>
      <rPr>
        <sz val="11"/>
        <rFont val="Linux Libertine G"/>
        <family val="2"/>
      </rPr>
      <t xml:space="preserve">不改尺寸，</t>
    </r>
    <r>
      <rPr>
        <sz val="11"/>
        <rFont val="Arial"/>
        <family val="0"/>
        <charset val="1"/>
      </rPr>
      <t xml:space="preserve">Cafav </t>
    </r>
    <r>
      <rPr>
        <sz val="11"/>
        <rFont val="Linux Libertine G"/>
        <family val="2"/>
      </rPr>
      <t xml:space="preserve">份额反而下降</t>
    </r>
  </si>
  <si>
    <r>
      <rPr>
        <sz val="11"/>
        <rFont val="Arial"/>
        <family val="0"/>
        <charset val="1"/>
      </rPr>
      <t xml:space="preserve">Cafav major </t>
    </r>
    <r>
      <rPr>
        <sz val="11"/>
        <rFont val="Linux Libertine G"/>
        <family val="2"/>
      </rPr>
      <t xml:space="preserve">开始：</t>
    </r>
    <r>
      <rPr>
        <sz val="11"/>
        <rFont val="Arial"/>
        <family val="0"/>
        <charset val="1"/>
      </rPr>
      <t xml:space="preserve">38 / 150 / Safety 4 / Quality 3</t>
    </r>
  </si>
  <si>
    <r>
      <rPr>
        <sz val="11"/>
        <rFont val="Arial"/>
        <family val="0"/>
        <charset val="1"/>
      </rPr>
      <t xml:space="preserve">Cafav major </t>
    </r>
    <r>
      <rPr>
        <sz val="11"/>
        <rFont val="Linux Libertine G"/>
        <family val="2"/>
      </rPr>
      <t xml:space="preserve">上市：</t>
    </r>
    <r>
      <rPr>
        <sz val="11"/>
        <rFont val="Arial"/>
        <family val="0"/>
        <charset val="1"/>
      </rPr>
      <t xml:space="preserve">40 / 150 / Safety 5 / Quality 4</t>
    </r>
  </si>
  <si>
    <r>
      <rPr>
        <sz val="11"/>
        <rFont val="Linux Libertine G"/>
        <family val="2"/>
      </rPr>
      <t xml:space="preserve">新车 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Family</t>
    </r>
    <r>
      <rPr>
        <sz val="11"/>
        <rFont val="Linux Libertine G"/>
        <family val="2"/>
      </rPr>
      <t xml:space="preserve">，瞄准 </t>
    </r>
    <r>
      <rPr>
        <sz val="11"/>
        <rFont val="Linux Libertine G"/>
        <family val="2"/>
        <charset val="1"/>
      </rPr>
      <t xml:space="preserve">4F</t>
    </r>
    <r>
      <rPr>
        <sz val="11"/>
        <rFont val="Linux Libertine G"/>
        <family val="2"/>
      </rPr>
      <t xml:space="preserve">）开始开发：</t>
    </r>
    <r>
      <rPr>
        <sz val="11"/>
        <rFont val="Linux Libertine G"/>
        <family val="2"/>
        <charset val="1"/>
      </rPr>
      <t xml:space="preserve">56 / 190 / I4 / S3 / Sf5 / Q5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</t>
    </r>
  </si>
  <si>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上市（</t>
    </r>
    <r>
      <rPr>
        <sz val="11"/>
        <rFont val="Linux Libertine G"/>
        <family val="2"/>
        <charset val="1"/>
      </rPr>
      <t xml:space="preserve">4F</t>
    </r>
    <r>
      <rPr>
        <sz val="11"/>
        <rFont val="Linux Libertine G"/>
        <family val="2"/>
      </rPr>
      <t xml:space="preserve">）：</t>
    </r>
    <r>
      <rPr>
        <sz val="11"/>
        <rFont val="Linux Libertine G"/>
        <family val="2"/>
        <charset val="1"/>
      </rPr>
      <t xml:space="preserve">56 / 190 / Interior 5 / Safety 6</t>
    </r>
    <r>
      <rPr>
        <sz val="11"/>
        <rFont val="Linux Libertine G"/>
        <family val="2"/>
      </rPr>
      <t xml:space="preserve">，今年 </t>
    </r>
    <r>
      <rPr>
        <sz val="11"/>
        <rFont val="Linux Libertine G"/>
        <family val="2"/>
        <charset val="1"/>
      </rPr>
      <t xml:space="preserve">$543M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</si>
  <si>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降成本：</t>
    </r>
    <r>
      <rPr>
        <sz val="11"/>
        <rFont val="Linux Libertine G"/>
        <family val="2"/>
        <charset val="1"/>
      </rPr>
      <t xml:space="preserve">$19,804 → $19,483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$197M</t>
    </r>
  </si>
  <si>
    <r>
      <rPr>
        <b val="true"/>
        <sz val="11"/>
        <rFont val="Linux Libertine G"/>
        <family val="2"/>
      </rPr>
      <t xml:space="preserve">中心 </t>
    </r>
    <r>
      <rPr>
        <b val="true"/>
        <sz val="11"/>
        <rFont val="Linux Libertine G"/>
        <family val="2"/>
        <charset val="1"/>
      </rPr>
      <t xml:space="preserve">3</t>
    </r>
  </si>
  <si>
    <t xml:space="preserve">—</t>
  </si>
  <si>
    <t xml:space="preserve">开始建造</t>
  </si>
  <si>
    <r>
      <rPr>
        <sz val="11"/>
        <rFont val="Arial"/>
        <family val="0"/>
        <charset val="1"/>
      </rPr>
      <t xml:space="preserve">Cafav major </t>
    </r>
    <r>
      <rPr>
        <sz val="11"/>
        <rFont val="Linux Libertine G"/>
        <family val="2"/>
      </rPr>
      <t xml:space="preserve">开始：</t>
    </r>
    <r>
      <rPr>
        <sz val="11"/>
        <rFont val="Arial"/>
        <family val="0"/>
        <charset val="1"/>
      </rPr>
      <t xml:space="preserve">28 → 38</t>
    </r>
  </si>
  <si>
    <r>
      <rPr>
        <sz val="11"/>
        <rFont val="Arial"/>
        <family val="0"/>
        <charset val="1"/>
      </rPr>
      <t xml:space="preserve">Cafav major </t>
    </r>
    <r>
      <rPr>
        <sz val="11"/>
        <rFont val="Linux Libertine G"/>
        <family val="2"/>
      </rPr>
      <t xml:space="preserve">上市，最后一年微调成 </t>
    </r>
    <r>
      <rPr>
        <sz val="11"/>
        <rFont val="Arial"/>
        <family val="0"/>
        <charset val="1"/>
      </rPr>
      <t xml:space="preserve">40 / Safety 5 / Quality 4</t>
    </r>
  </si>
  <si>
    <r>
      <rPr>
        <sz val="11"/>
        <rFont val="Arial"/>
        <family val="0"/>
        <charset val="1"/>
      </rPr>
      <t xml:space="preserve">Concept Test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2F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Likely to buy </t>
    </r>
    <r>
      <rPr>
        <sz val="11"/>
        <rFont val="Linux Libertine G"/>
        <family val="2"/>
      </rPr>
      <t xml:space="preserve">从 </t>
    </r>
    <r>
      <rPr>
        <sz val="11"/>
        <rFont val="Arial"/>
        <family val="0"/>
        <charset val="1"/>
      </rPr>
      <t xml:space="preserve">14.2% </t>
    </r>
    <r>
      <rPr>
        <sz val="11"/>
        <rFont val="Linux Libertine G"/>
        <family val="2"/>
      </rPr>
      <t xml:space="preserve">升到 </t>
    </r>
    <r>
      <rPr>
        <sz val="11"/>
        <rFont val="Arial"/>
        <family val="0"/>
        <charset val="1"/>
      </rPr>
      <t xml:space="preserve">24.3%</t>
    </r>
    <r>
      <rPr>
        <sz val="11"/>
        <rFont val="Linux Libertine G"/>
        <family val="2"/>
      </rPr>
      <t xml:space="preserve">；但会失去 </t>
    </r>
    <r>
      <rPr>
        <sz val="11"/>
        <rFont val="Arial"/>
        <family val="0"/>
        <charset val="1"/>
      </rPr>
      <t xml:space="preserve">2E </t>
    </r>
    <r>
      <rPr>
        <sz val="11"/>
        <rFont val="Linux Libertine G"/>
        <family val="2"/>
      </rPr>
      <t xml:space="preserve">的客户</t>
    </r>
  </si>
  <si>
    <r>
      <rPr>
        <sz val="11"/>
        <rFont val="Linux Libertine G"/>
        <family val="2"/>
      </rPr>
      <t xml:space="preserve">开始建造（</t>
    </r>
    <r>
      <rPr>
        <sz val="11"/>
        <rFont val="Linux Libertine G"/>
        <family val="2"/>
        <charset val="1"/>
      </rPr>
      <t xml:space="preserve">$624M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</si>
  <si>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Crash minor </t>
    </r>
    <r>
      <rPr>
        <sz val="11"/>
        <rFont val="Linux Libertine G"/>
        <family val="2"/>
      </rPr>
      <t xml:space="preserve">上市：</t>
    </r>
    <r>
      <rPr>
        <sz val="11"/>
        <rFont val="Linux Libertine G"/>
        <family val="2"/>
        <charset val="1"/>
      </rPr>
      <t xml:space="preserve">68 / 195 / Styling 3 / Quality 2</t>
    </r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</si>
  <si>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第二次 </t>
    </r>
    <r>
      <rPr>
        <sz val="11"/>
        <rFont val="Linux Libertine G"/>
        <family val="2"/>
        <charset val="1"/>
      </rPr>
      <t xml:space="preserve">minor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Styling 4 / Quality 3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</si>
  <si>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降成本：</t>
    </r>
    <r>
      <rPr>
        <sz val="11"/>
        <rFont val="Linux Libertine G"/>
        <family val="2"/>
        <charset val="1"/>
      </rPr>
      <t xml:space="preserve">$15,186 → $14,887</t>
    </r>
    <r>
      <rPr>
        <sz val="11"/>
        <rFont val="Linux Libertine G"/>
        <family val="2"/>
      </rPr>
      <t xml:space="preserve">（每辆省 </t>
    </r>
    <r>
      <rPr>
        <sz val="11"/>
        <rFont val="Linux Libertine G"/>
        <family val="2"/>
        <charset val="1"/>
      </rPr>
      <t xml:space="preserve">$299</t>
    </r>
    <r>
      <rPr>
        <sz val="11"/>
        <rFont val="Linux Libertine G"/>
        <family val="2"/>
      </rPr>
      <t xml:space="preserve">），今年 </t>
    </r>
    <r>
      <rPr>
        <sz val="11"/>
        <rFont val="Linux Libertine G"/>
        <family val="2"/>
        <charset val="1"/>
      </rPr>
      <t xml:space="preserve">$192M</t>
    </r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</si>
  <si>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降成本：</t>
    </r>
    <r>
      <rPr>
        <sz val="11"/>
        <rFont val="Linux Libertine G"/>
        <family val="2"/>
        <charset val="1"/>
      </rPr>
      <t xml:space="preserve">$14,059 → $13,819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$197M</t>
    </r>
  </si>
  <si>
    <r>
      <rPr>
        <b val="true"/>
        <sz val="11"/>
        <rFont val="Linux Libertine G"/>
        <family val="2"/>
      </rPr>
      <t xml:space="preserve">中心 </t>
    </r>
    <r>
      <rPr>
        <b val="true"/>
        <sz val="11"/>
        <rFont val="Linux Libertine G"/>
        <family val="2"/>
        <charset val="1"/>
      </rPr>
      <t xml:space="preserve">4</t>
    </r>
  </si>
  <si>
    <r>
      <rPr>
        <sz val="11"/>
        <rFont val="Linux Libertine G"/>
        <family val="2"/>
      </rPr>
      <t xml:space="preserve">开始建造（</t>
    </r>
    <r>
      <rPr>
        <sz val="11"/>
        <rFont val="Linux Libertine G"/>
        <family val="2"/>
        <charset val="1"/>
      </rPr>
      <t xml:space="preserve">$643M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</si>
  <si>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Cameo minor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14 / ISSQ </t>
    </r>
    <r>
      <rPr>
        <sz val="11"/>
        <rFont val="Linux Libertine G"/>
        <family val="2"/>
      </rPr>
      <t xml:space="preserve">全部升到 </t>
    </r>
    <r>
      <rPr>
        <sz val="11"/>
        <rFont val="Arial"/>
        <family val="0"/>
        <charset val="1"/>
      </rPr>
      <t xml:space="preserve">2</t>
    </r>
    <r>
      <rPr>
        <sz val="11"/>
        <rFont val="Linux Libertine G"/>
        <family val="2"/>
      </rPr>
      <t xml:space="preserve">（处理 </t>
    </r>
    <r>
      <rPr>
        <sz val="11"/>
        <rFont val="Arial"/>
        <family val="0"/>
        <charset val="1"/>
      </rPr>
      <t xml:space="preserve">$103M </t>
    </r>
    <r>
      <rPr>
        <sz val="11"/>
        <rFont val="Linux Libertine G"/>
        <family val="2"/>
      </rPr>
      <t xml:space="preserve">旧库存）</t>
    </r>
  </si>
  <si>
    <r>
      <rPr>
        <sz val="11"/>
        <rFont val="Linux Libertine G"/>
        <family val="2"/>
      </rPr>
      <t xml:space="preserve">⚠️ 尺寸 </t>
    </r>
    <r>
      <rPr>
        <sz val="11"/>
        <rFont val="Linux Libertine G"/>
        <family val="2"/>
        <charset val="1"/>
      </rPr>
      <t xml:space="preserve">14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1E </t>
    </r>
    <r>
      <rPr>
        <sz val="11"/>
        <rFont val="Linux Libertine G"/>
        <family val="2"/>
      </rPr>
      <t xml:space="preserve">被评为 </t>
    </r>
    <r>
      <rPr>
        <sz val="11"/>
        <rFont val="Linux Libertine G"/>
        <family val="2"/>
        <charset val="1"/>
      </rPr>
      <t xml:space="preserve">big</t>
    </r>
    <r>
      <rPr>
        <sz val="11"/>
        <rFont val="Linux Libertine G"/>
        <family val="2"/>
      </rPr>
      <t xml:space="preserve">、在 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被评为 </t>
    </r>
    <r>
      <rPr>
        <sz val="11"/>
        <rFont val="Linux Libertine G"/>
        <family val="2"/>
        <charset val="1"/>
      </rPr>
      <t xml:space="preserve">too small</t>
    </r>
    <r>
      <rPr>
        <sz val="11"/>
        <rFont val="Linux Libertine G"/>
        <family val="2"/>
      </rPr>
      <t xml:space="preserve">，两头都不讨好</t>
    </r>
  </si>
  <si>
    <r>
      <rPr>
        <sz val="11"/>
        <rFont val="Linux Libertine G"/>
        <family val="2"/>
      </rPr>
      <t xml:space="preserve">—（每年只能建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个中心）</t>
    </r>
  </si>
  <si>
    <r>
      <rPr>
        <sz val="11"/>
        <rFont val="Linux Libertine G"/>
        <family val="2"/>
      </rPr>
      <t xml:space="preserve">开始建造（</t>
    </r>
    <r>
      <rPr>
        <sz val="11"/>
        <rFont val="Linux Libertine G"/>
        <family val="2"/>
        <charset val="1"/>
      </rPr>
      <t xml:space="preserve">$630M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</si>
  <si>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Cameo major </t>
    </r>
    <r>
      <rPr>
        <sz val="11"/>
        <rFont val="Linux Libertine G"/>
        <family val="2"/>
      </rPr>
      <t xml:space="preserve">转 </t>
    </r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22 / 125 / I2 / S2 / Sf3 / Q3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</t>
    </r>
  </si>
  <si>
    <r>
      <rPr>
        <sz val="11"/>
        <rFont val="Linux Libertine G"/>
        <family val="2"/>
      </rPr>
      <t xml:space="preserve">新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上市（</t>
    </r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）：</t>
    </r>
    <r>
      <rPr>
        <sz val="11"/>
        <rFont val="Linux Libertine G"/>
        <family val="2"/>
        <charset val="1"/>
      </rPr>
      <t xml:space="preserve">22 / 125 / Safety 4 / Quality 4</t>
    </r>
    <r>
      <rPr>
        <sz val="11"/>
        <rFont val="Linux Libertine G"/>
        <family val="2"/>
      </rPr>
      <t xml:space="preserve">，今年 </t>
    </r>
    <r>
      <rPr>
        <sz val="11"/>
        <rFont val="Linux Libertine G"/>
        <family val="2"/>
        <charset val="1"/>
      </rPr>
      <t xml:space="preserve">$229M</t>
    </r>
  </si>
  <si>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降成本：</t>
    </r>
    <r>
      <rPr>
        <sz val="11"/>
        <rFont val="Linux Libertine G"/>
        <family val="2"/>
        <charset val="1"/>
      </rPr>
      <t xml:space="preserve">$21,448 → $21,144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$197M</t>
    </r>
  </si>
  <si>
    <r>
      <rPr>
        <b val="true"/>
        <sz val="11"/>
        <rFont val="Linux Libertine G"/>
        <family val="2"/>
      </rPr>
      <t xml:space="preserve">中心 </t>
    </r>
    <r>
      <rPr>
        <b val="true"/>
        <sz val="11"/>
        <rFont val="Linux Libertine G"/>
        <family val="2"/>
        <charset val="1"/>
      </rPr>
      <t xml:space="preserve">5</t>
    </r>
  </si>
  <si>
    <r>
      <rPr>
        <sz val="11"/>
        <rFont val="Linux Libertine G"/>
        <family val="2"/>
      </rPr>
      <t xml:space="preserve">开始建造（</t>
    </r>
    <r>
      <rPr>
        <sz val="11"/>
        <rFont val="Linux Libertine G"/>
        <family val="2"/>
        <charset val="1"/>
      </rPr>
      <t xml:space="preserve">$643M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起能用</t>
    </r>
  </si>
  <si>
    <r>
      <rPr>
        <sz val="11"/>
        <rFont val="Linux Libertine G"/>
        <family val="2"/>
      </rPr>
      <t xml:space="preserve">新车 </t>
    </r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Sports</t>
    </r>
    <r>
      <rPr>
        <sz val="11"/>
        <rFont val="Linux Libertine G"/>
        <family val="2"/>
      </rPr>
      <t xml:space="preserve">，瞄准 </t>
    </r>
    <r>
      <rPr>
        <sz val="11"/>
        <rFont val="Linux Libertine G"/>
        <family val="2"/>
        <charset val="1"/>
      </rPr>
      <t xml:space="preserve">3S</t>
    </r>
    <r>
      <rPr>
        <sz val="11"/>
        <rFont val="Linux Libertine G"/>
        <family val="2"/>
      </rPr>
      <t xml:space="preserve">）：</t>
    </r>
    <r>
      <rPr>
        <sz val="11"/>
        <rFont val="Linux Libertine G"/>
        <family val="2"/>
        <charset val="1"/>
      </rPr>
      <t xml:space="preserve">40 / 205 / I2 / S7 / Sf3 / Q4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Base Cost $22,341</t>
    </r>
    <r>
      <rPr>
        <sz val="11"/>
        <rFont val="Linux Libertine G"/>
        <family val="2"/>
      </rPr>
      <t xml:space="preserve">，开发费 </t>
    </r>
    <r>
      <rPr>
        <sz val="11"/>
        <rFont val="Linux Libertine G"/>
        <family val="2"/>
        <charset val="1"/>
      </rPr>
      <t xml:space="preserve">$1,318M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年），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上市，今年 </t>
    </r>
    <r>
      <rPr>
        <sz val="11"/>
        <rFont val="Linux Libertine G"/>
        <family val="2"/>
        <charset val="1"/>
      </rPr>
      <t xml:space="preserve">$439M</t>
    </r>
    <r>
      <rPr>
        <sz val="11"/>
        <rFont val="Linux Libertine G"/>
        <family val="2"/>
      </rPr>
      <t xml:space="preserve">（换掉 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降成本）</t>
    </r>
  </si>
  <si>
    <r>
      <rPr>
        <sz val="11"/>
        <rFont val="Linux Libertine G"/>
        <family val="2"/>
        <charset val="1"/>
      </rPr>
      <t xml:space="preserve">Chow </t>
    </r>
    <r>
      <rPr>
        <sz val="11"/>
        <rFont val="Linux Libertine G"/>
        <family val="2"/>
      </rPr>
      <t xml:space="preserve">开发第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年（</t>
    </r>
    <r>
      <rPr>
        <sz val="11"/>
        <rFont val="Linux Libertine G"/>
        <family val="2"/>
        <charset val="1"/>
      </rPr>
      <t xml:space="preserve">$439M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上市；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今年没有项目</t>
    </r>
  </si>
  <si>
    <t xml:space="preserve">技术投资</t>
  </si>
  <si>
    <r>
      <rPr>
        <sz val="11"/>
        <rFont val="Arial"/>
        <family val="0"/>
        <charset val="1"/>
      </rPr>
      <t xml:space="preserve">Styling +1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$300M</t>
    </r>
    <r>
      <rPr>
        <sz val="11"/>
        <rFont val="Linux Libertine G"/>
        <family val="2"/>
      </rPr>
      <t xml:space="preserve">）</t>
    </r>
  </si>
  <si>
    <t xml:space="preserve">不投</t>
  </si>
  <si>
    <r>
      <rPr>
        <sz val="11"/>
        <rFont val="Arial"/>
        <family val="0"/>
        <charset val="1"/>
      </rPr>
      <t xml:space="preserve">Safety +1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$263M</t>
    </r>
    <r>
      <rPr>
        <sz val="11"/>
        <rFont val="Linux Libertine G"/>
        <family val="2"/>
      </rPr>
      <t xml:space="preserve">）</t>
    </r>
  </si>
  <si>
    <t xml:space="preserve">不投（明年才生效）</t>
  </si>
  <si>
    <r>
      <rPr>
        <sz val="11"/>
        <rFont val="Linux Libertine G"/>
        <family val="2"/>
      </rPr>
      <t xml:space="preserve">为 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做到 </t>
    </r>
    <r>
      <rPr>
        <sz val="11"/>
        <rFont val="Linux Libertine G"/>
        <family val="2"/>
        <charset val="1"/>
      </rPr>
      <t xml:space="preserve">Safety 5 </t>
    </r>
    <r>
      <rPr>
        <sz val="11"/>
        <rFont val="Linux Libertine G"/>
        <family val="2"/>
      </rPr>
      <t xml:space="preserve">做准备</t>
    </r>
  </si>
  <si>
    <r>
      <rPr>
        <sz val="11"/>
        <rFont val="Arial"/>
        <family val="0"/>
        <charset val="1"/>
      </rPr>
      <t xml:space="preserve">Safety +1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$327M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</si>
  <si>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Styling +1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$305M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</si>
  <si>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Interior +1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Safety +1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$544M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</si>
  <si>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不买（原计划 </t>
    </r>
    <r>
      <rPr>
        <sz val="11"/>
        <rFont val="Linux Libertine G"/>
        <family val="2"/>
        <charset val="1"/>
      </rPr>
      <t xml:space="preserve">Quality +1 $281M</t>
    </r>
    <r>
      <rPr>
        <sz val="11"/>
        <rFont val="Linux Libertine G"/>
        <family val="2"/>
      </rPr>
      <t xml:space="preserve">，复查后取消）</t>
    </r>
  </si>
  <si>
    <r>
      <rPr>
        <sz val="11"/>
        <rFont val="Linux Libertine G"/>
        <family val="2"/>
        <charset val="1"/>
      </rPr>
      <t xml:space="preserve">Safety +1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$402M</t>
    </r>
    <r>
      <rPr>
        <sz val="11"/>
        <rFont val="Linux Libertine G"/>
        <family val="2"/>
      </rPr>
      <t xml:space="preserve">），为 </t>
    </r>
    <r>
      <rPr>
        <sz val="11"/>
        <rFont val="Linux Libertine G"/>
        <family val="2"/>
        <charset val="1"/>
      </rPr>
      <t xml:space="preserve">Y6 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到 </t>
    </r>
    <r>
      <rPr>
        <sz val="11"/>
        <rFont val="Linux Libertine G"/>
        <family val="2"/>
        <charset val="1"/>
      </rPr>
      <t xml:space="preserve">Safety 7</t>
    </r>
  </si>
  <si>
    <r>
      <rPr>
        <b val="true"/>
        <sz val="11"/>
        <color rgb="FF1F3864"/>
        <rFont val="Linux Libertine G"/>
        <family val="2"/>
      </rPr>
      <t xml:space="preserve">价格（</t>
    </r>
    <r>
      <rPr>
        <b val="true"/>
        <sz val="11"/>
        <color rgb="FF1F3864"/>
        <rFont val="Linux Libertine G"/>
        <family val="2"/>
        <charset val="1"/>
      </rPr>
      <t xml:space="preserve">MSRP</t>
    </r>
    <r>
      <rPr>
        <b val="true"/>
        <sz val="11"/>
        <color rgb="FF1F3864"/>
        <rFont val="Linux Libertine G"/>
        <family val="2"/>
      </rPr>
      <t xml:space="preserve">）</t>
    </r>
  </si>
  <si>
    <r>
      <rPr>
        <b val="true"/>
        <sz val="11"/>
        <rFont val="Arial"/>
        <family val="0"/>
        <charset val="1"/>
      </rPr>
      <t xml:space="preserve">Cafav</t>
    </r>
    <r>
      <rPr>
        <b val="true"/>
        <sz val="11"/>
        <rFont val="Linux Libertine G"/>
        <family val="2"/>
      </rPr>
      <t xml:space="preserve">（家用车）</t>
    </r>
  </si>
  <si>
    <r>
      <rPr>
        <sz val="11"/>
        <rFont val="Arial"/>
        <family val="0"/>
        <charset val="1"/>
      </rPr>
      <t xml:space="preserve">2F </t>
    </r>
    <r>
      <rPr>
        <sz val="11"/>
        <rFont val="Linux Libertine G"/>
        <family val="2"/>
      </rPr>
      <t xml:space="preserve">的价格断崖在 </t>
    </r>
    <r>
      <rPr>
        <sz val="11"/>
        <rFont val="Arial"/>
        <family val="0"/>
        <charset val="1"/>
      </rPr>
      <t xml:space="preserve">$22K </t>
    </r>
    <r>
      <rPr>
        <sz val="11"/>
        <rFont val="Linux Libertine G"/>
        <family val="2"/>
      </rPr>
      <t xml:space="preserve">左右</t>
    </r>
  </si>
  <si>
    <r>
      <rPr>
        <b val="true"/>
        <sz val="11"/>
        <rFont val="Arial"/>
        <family val="0"/>
        <charset val="1"/>
      </rPr>
      <t xml:space="preserve">Cameo</t>
    </r>
    <r>
      <rPr>
        <b val="true"/>
        <sz val="11"/>
        <rFont val="Linux Libertine G"/>
        <family val="2"/>
      </rPr>
      <t xml:space="preserve">（经济车）</t>
    </r>
  </si>
  <si>
    <r>
      <rPr>
        <sz val="11"/>
        <rFont val="Arial"/>
        <family val="0"/>
        <charset val="1"/>
      </rPr>
      <t xml:space="preserve">Y2 </t>
    </r>
    <r>
      <rPr>
        <sz val="11"/>
        <rFont val="Linux Libertine G"/>
        <family val="2"/>
      </rPr>
      <t xml:space="preserve">提价后照样卖光</t>
    </r>
  </si>
  <si>
    <r>
      <rPr>
        <b val="true"/>
        <sz val="11"/>
        <rFont val="Arial"/>
        <family val="0"/>
        <charset val="1"/>
      </rPr>
      <t xml:space="preserve">Crash</t>
    </r>
    <r>
      <rPr>
        <b val="true"/>
        <sz val="11"/>
        <rFont val="Linux Libertine G"/>
        <family val="2"/>
      </rPr>
      <t xml:space="preserve">（卡车）</t>
    </r>
  </si>
  <si>
    <r>
      <rPr>
        <sz val="11"/>
        <rFont val="Arial"/>
        <family val="0"/>
        <charset val="1"/>
      </rPr>
      <t xml:space="preserve">Test Market </t>
    </r>
    <r>
      <rPr>
        <sz val="11"/>
        <rFont val="Linux Libertine G"/>
        <family val="2"/>
      </rPr>
      <t xml:space="preserve">显示降价都亏钱</t>
    </r>
  </si>
  <si>
    <r>
      <rPr>
        <b val="true"/>
        <sz val="11"/>
        <rFont val="Arial"/>
        <family val="0"/>
        <charset val="1"/>
      </rPr>
      <t xml:space="preserve">Canyon</t>
    </r>
    <r>
      <rPr>
        <b val="true"/>
        <sz val="11"/>
        <rFont val="Linux Libertine G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Utility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</si>
  <si>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对价格几乎不敏感；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定 </t>
    </r>
    <r>
      <rPr>
        <sz val="11"/>
        <rFont val="Linux Libertine G"/>
        <family val="2"/>
        <charset val="1"/>
      </rPr>
      <t xml:space="preserve">$31K </t>
    </r>
    <r>
      <rPr>
        <sz val="11"/>
        <rFont val="Linux Libertine G"/>
        <family val="2"/>
      </rPr>
      <t xml:space="preserve">还缺货超过 </t>
    </r>
    <r>
      <rPr>
        <sz val="11"/>
        <rFont val="Linux Libertine G"/>
        <family val="2"/>
        <charset val="1"/>
      </rPr>
      <t xml:space="preserve">30%</t>
    </r>
  </si>
  <si>
    <r>
      <rPr>
        <sz val="11"/>
        <rFont val="Linux Libertine G"/>
        <family val="2"/>
      </rPr>
      <t xml:space="preserve">—（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上市）</t>
    </r>
  </si>
  <si>
    <r>
      <rPr>
        <b val="true"/>
        <sz val="11"/>
        <rFont val="Arial"/>
        <family val="0"/>
        <charset val="1"/>
      </rPr>
      <t xml:space="preserve">Cosmo</t>
    </r>
    <r>
      <rPr>
        <b val="true"/>
        <sz val="11"/>
        <rFont val="Linux Libertine G"/>
        <family val="2"/>
      </rPr>
      <t xml:space="preserve">（家用车，</t>
    </r>
    <r>
      <rPr>
        <b val="true"/>
        <sz val="11"/>
        <rFont val="Arial"/>
        <family val="0"/>
        <charset val="1"/>
      </rPr>
      <t xml:space="preserve">4F</t>
    </r>
    <r>
      <rPr>
        <b val="true"/>
        <sz val="11"/>
        <rFont val="Linux Libertine G"/>
        <family val="2"/>
      </rPr>
      <t xml:space="preserve">）</t>
    </r>
  </si>
  <si>
    <t xml:space="preserve">营销和渠道</t>
  </si>
  <si>
    <r>
      <rPr>
        <b val="true"/>
        <sz val="11"/>
        <rFont val="Linux Libertine G"/>
        <family val="2"/>
      </rPr>
      <t xml:space="preserve">营销总额（</t>
    </r>
    <r>
      <rPr>
        <b val="true"/>
        <sz val="11"/>
        <rFont val="Linux Libertine G"/>
        <family val="2"/>
        <charset val="1"/>
      </rPr>
      <t xml:space="preserve">$M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</si>
  <si>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老师要求占营收 </t>
    </r>
    <r>
      <rPr>
        <sz val="11"/>
        <rFont val="Linux Libertine G"/>
        <family val="2"/>
        <charset val="1"/>
      </rPr>
      <t xml:space="preserve">2–4%</t>
    </r>
  </si>
  <si>
    <t xml:space="preserve">营销占营收</t>
  </si>
  <si>
    <r>
      <rPr>
        <sz val="11"/>
        <rFont val="Linux Libertine G"/>
        <family val="2"/>
      </rPr>
      <t xml:space="preserve">公式：营销 </t>
    </r>
    <r>
      <rPr>
        <sz val="11"/>
        <rFont val="Linux Libertine G"/>
        <family val="2"/>
        <charset val="1"/>
      </rPr>
      <t xml:space="preserve">÷ </t>
    </r>
    <r>
      <rPr>
        <sz val="11"/>
        <rFont val="Linux Libertine G"/>
        <family val="2"/>
      </rPr>
      <t xml:space="preserve">营收（营收取自“每年的结果”页；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的营收）</t>
    </r>
  </si>
  <si>
    <t xml:space="preserve">经销商</t>
  </si>
  <si>
    <t xml:space="preserve">South +48</t>
  </si>
  <si>
    <r>
      <rPr>
        <sz val="11"/>
        <rFont val="Arial"/>
        <family val="0"/>
        <charset val="1"/>
      </rPr>
      <t xml:space="preserve">North +24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West +24</t>
    </r>
  </si>
  <si>
    <t xml:space="preserve">South +16</t>
  </si>
  <si>
    <t xml:space="preserve">不变（明年才生效）</t>
  </si>
  <si>
    <r>
      <rPr>
        <sz val="11"/>
        <rFont val="Linux Libertine G"/>
        <family val="2"/>
      </rPr>
      <t xml:space="preserve">总数 </t>
    </r>
    <r>
      <rPr>
        <sz val="11"/>
        <rFont val="Linux Libertine G"/>
        <family val="2"/>
        <charset val="1"/>
      </rPr>
      <t xml:space="preserve">480 → 528 → 576</t>
    </r>
  </si>
  <si>
    <r>
      <rPr>
        <sz val="11"/>
        <rFont val="Arial"/>
        <family val="0"/>
        <charset val="1"/>
      </rPr>
      <t xml:space="preserve">South +30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North +11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West +11</t>
    </r>
    <r>
      <rPr>
        <sz val="11"/>
        <rFont val="Linux Libertine G"/>
        <family val="2"/>
      </rPr>
      <t xml:space="preserve">（覆盖率 </t>
    </r>
    <r>
      <rPr>
        <sz val="11"/>
        <rFont val="Arial"/>
        <family val="0"/>
        <charset val="1"/>
      </rPr>
      <t xml:space="preserve">78.5%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</si>
  <si>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North +16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South +16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East +8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West +16</t>
    </r>
    <r>
      <rPr>
        <sz val="11"/>
        <rFont val="Linux Libertine G"/>
        <family val="2"/>
      </rPr>
      <t xml:space="preserve">（覆盖率 </t>
    </r>
    <r>
      <rPr>
        <sz val="11"/>
        <rFont val="Arial"/>
        <family val="0"/>
        <charset val="1"/>
      </rPr>
      <t xml:space="preserve">78.5% → 85.5%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</si>
  <si>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+62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10% </t>
    </r>
    <r>
      <rPr>
        <sz val="11"/>
        <rFont val="Linux Libertine G"/>
        <family val="2"/>
      </rPr>
      <t xml:space="preserve">上限）：</t>
    </r>
    <r>
      <rPr>
        <sz val="11"/>
        <rFont val="Arial"/>
        <family val="0"/>
        <charset val="1"/>
      </rPr>
      <t xml:space="preserve">North 16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South 19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East 11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West 16</t>
    </r>
    <r>
      <rPr>
        <sz val="11"/>
        <rFont val="Linux Libertine G"/>
        <family val="2"/>
      </rPr>
      <t xml:space="preserve">；覆盖率 </t>
    </r>
    <r>
      <rPr>
        <sz val="11"/>
        <rFont val="Arial"/>
        <family val="0"/>
        <charset val="1"/>
      </rPr>
      <t xml:space="preserve">85.5% → 93.3%</t>
    </r>
  </si>
  <si>
    <r>
      <rPr>
        <b val="true"/>
        <sz val="11"/>
        <rFont val="Linux Libertine G"/>
        <family val="2"/>
      </rPr>
      <t xml:space="preserve">经销商培训（</t>
    </r>
    <r>
      <rPr>
        <b val="true"/>
        <sz val="11"/>
        <rFont val="Linux Libertine G"/>
        <family val="2"/>
        <charset val="1"/>
      </rPr>
      <t xml:space="preserve">$M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</si>
  <si>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F </t>
    </r>
    <r>
      <rPr>
        <sz val="11"/>
        <rFont val="Linux Libertine G"/>
        <family val="2"/>
      </rPr>
      <t xml:space="preserve">投 </t>
    </r>
    <r>
      <rPr>
        <sz val="11"/>
        <rFont val="Arial"/>
        <family val="0"/>
        <charset val="1"/>
      </rPr>
      <t xml:space="preserve">$30M</t>
    </r>
    <r>
      <rPr>
        <sz val="11"/>
        <rFont val="Linux Libertine G"/>
        <family val="2"/>
      </rPr>
      <t xml:space="preserve">，</t>
    </r>
    <r>
      <rPr>
        <sz val="11"/>
        <rFont val="Arial"/>
        <family val="0"/>
        <charset val="1"/>
      </rPr>
      <t xml:space="preserve">Firm Preference </t>
    </r>
    <r>
      <rPr>
        <sz val="11"/>
        <rFont val="Linux Libertine G"/>
        <family val="2"/>
      </rPr>
      <t xml:space="preserve">最高</t>
    </r>
  </si>
  <si>
    <t xml:space="preserve">生产和产能（千辆）</t>
  </si>
  <si>
    <t xml:space="preserve">每年都在扩</t>
  </si>
  <si>
    <t xml:space="preserve">排产合计</t>
  </si>
  <si>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按“份额 </t>
    </r>
    <r>
      <rPr>
        <sz val="11"/>
        <rFont val="Arial"/>
        <family val="0"/>
        <charset val="1"/>
      </rPr>
      <t xml:space="preserve">× </t>
    </r>
    <r>
      <rPr>
        <sz val="11"/>
        <rFont val="Linux Libertine G"/>
        <family val="2"/>
      </rPr>
      <t xml:space="preserve">全行业销量”来排</t>
    </r>
  </si>
  <si>
    <t xml:space="preserve">产能利用率</t>
  </si>
  <si>
    <r>
      <rPr>
        <sz val="11"/>
        <rFont val="Linux Libertine G"/>
        <family val="2"/>
      </rPr>
      <t xml:space="preserve">公式：排产 </t>
    </r>
    <r>
      <rPr>
        <sz val="11"/>
        <rFont val="Linux Libertine G"/>
        <family val="2"/>
        <charset val="1"/>
      </rPr>
      <t xml:space="preserve">÷ </t>
    </r>
    <r>
      <rPr>
        <sz val="11"/>
        <rFont val="Linux Libertine G"/>
        <family val="2"/>
      </rPr>
      <t xml:space="preserve">产能；超过 </t>
    </r>
    <r>
      <rPr>
        <sz val="11"/>
        <rFont val="Linux Libertine G"/>
        <family val="2"/>
        <charset val="1"/>
      </rPr>
      <t xml:space="preserve">110% </t>
    </r>
    <r>
      <rPr>
        <sz val="11"/>
        <rFont val="Linux Libertine G"/>
        <family val="2"/>
      </rPr>
      <t xml:space="preserve">就危险</t>
    </r>
  </si>
  <si>
    <r>
      <rPr>
        <b val="true"/>
        <sz val="11"/>
        <rFont val="Linux Libertine G"/>
        <family val="2"/>
      </rPr>
      <t xml:space="preserve">超产能费（</t>
    </r>
    <r>
      <rPr>
        <b val="true"/>
        <sz val="11"/>
        <rFont val="Linux Libertine G"/>
        <family val="2"/>
        <charset val="1"/>
      </rPr>
      <t xml:space="preserve">$M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</si>
  <si>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超产 </t>
    </r>
    <r>
      <rPr>
        <sz val="11"/>
        <rFont val="Arial"/>
        <family val="0"/>
        <charset val="1"/>
      </rPr>
      <t xml:space="preserve">45% </t>
    </r>
    <r>
      <rPr>
        <sz val="11"/>
        <rFont val="Linux Libertine G"/>
        <family val="2"/>
      </rPr>
      <t xml:space="preserve">是最大的错误；</t>
    </r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四款车都缺货，</t>
    </r>
    <r>
      <rPr>
        <sz val="11"/>
        <rFont val="Arial"/>
        <family val="0"/>
        <charset val="1"/>
      </rPr>
      <t xml:space="preserve">Flex </t>
    </r>
    <r>
      <rPr>
        <sz val="11"/>
        <rFont val="Linux Libertine G"/>
        <family val="2"/>
      </rPr>
      <t xml:space="preserve">自动多产 </t>
    </r>
    <r>
      <rPr>
        <sz val="11"/>
        <rFont val="Arial"/>
        <family val="0"/>
        <charset val="1"/>
      </rPr>
      <t xml:space="preserve">10%</t>
    </r>
    <r>
      <rPr>
        <sz val="11"/>
        <rFont val="Linux Libertine G"/>
        <family val="2"/>
      </rPr>
      <t xml:space="preserve">，超产 </t>
    </r>
    <r>
      <rPr>
        <sz val="11"/>
        <rFont val="Arial"/>
        <family val="0"/>
        <charset val="1"/>
      </rPr>
      <t xml:space="preserve">7%</t>
    </r>
    <r>
      <rPr>
        <sz val="11"/>
        <rFont val="Linux Libertine G"/>
        <family val="2"/>
      </rPr>
      <t xml:space="preserve">，付了 </t>
    </r>
    <r>
      <rPr>
        <sz val="11"/>
        <rFont val="Arial"/>
        <family val="0"/>
        <charset val="1"/>
      </rPr>
      <t xml:space="preserve">$321M</t>
    </r>
  </si>
  <si>
    <t xml:space="preserve">扩产（下一年生效）</t>
  </si>
  <si>
    <r>
      <rPr>
        <sz val="11"/>
        <rFont val="Arial"/>
        <family val="0"/>
        <charset val="1"/>
      </rPr>
      <t xml:space="preserve">+500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$3,517M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</si>
  <si>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+500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$3,439M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</si>
  <si>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+200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$1,378M</t>
    </r>
    <r>
      <rPr>
        <sz val="11"/>
        <rFont val="Linux Libertine G"/>
        <family val="2"/>
      </rPr>
      <t xml:space="preserve">）</t>
    </r>
  </si>
  <si>
    <t xml:space="preserve">不扩（练习轮看不到效果）</t>
  </si>
  <si>
    <t xml:space="preserve">正式比赛要提前一年扩</t>
  </si>
  <si>
    <r>
      <rPr>
        <sz val="11"/>
        <rFont val="Arial"/>
        <family val="0"/>
        <charset val="1"/>
      </rPr>
      <t xml:space="preserve">+750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$5,126M</t>
    </r>
    <r>
      <rPr>
        <sz val="11"/>
        <rFont val="Linux Libertine G"/>
        <family val="2"/>
      </rPr>
      <t xml:space="preserve">，系统上限 </t>
    </r>
    <r>
      <rPr>
        <sz val="11"/>
        <rFont val="Arial"/>
        <family val="0"/>
        <charset val="1"/>
      </rPr>
      <t xml:space="preserve">50%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</si>
  <si>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+800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$5,394M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</si>
  <si>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+400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$2,711M</t>
    </r>
    <r>
      <rPr>
        <sz val="11"/>
        <rFont val="Linux Libertine G"/>
        <family val="2"/>
      </rPr>
      <t xml:space="preserve">；取消新车后照样扩，给老车型的增长用）</t>
    </r>
  </si>
  <si>
    <r>
      <rPr>
        <sz val="11"/>
        <rFont val="Arial"/>
        <family val="0"/>
        <charset val="1"/>
      </rPr>
      <t xml:space="preserve">+500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$3,430M</t>
    </r>
    <r>
      <rPr>
        <sz val="11"/>
        <rFont val="Linux Libertine G"/>
        <family val="2"/>
      </rPr>
      <t xml:space="preserve">），</t>
    </r>
    <r>
      <rPr>
        <sz val="11"/>
        <rFont val="Arial"/>
        <family val="0"/>
        <charset val="1"/>
      </rPr>
      <t xml:space="preserve">Y6 </t>
    </r>
    <r>
      <rPr>
        <sz val="11"/>
        <rFont val="Linux Libertine G"/>
        <family val="2"/>
      </rPr>
      <t xml:space="preserve">起 </t>
    </r>
    <r>
      <rPr>
        <sz val="11"/>
        <rFont val="Arial"/>
        <family val="0"/>
        <charset val="1"/>
      </rPr>
      <t xml:space="preserve">3,950K</t>
    </r>
  </si>
  <si>
    <t xml:space="preserve">融资操作</t>
  </si>
  <si>
    <r>
      <rPr>
        <sz val="11"/>
        <rFont val="Linux Libertine G"/>
        <family val="2"/>
      </rPr>
      <t xml:space="preserve">还清短贷 </t>
    </r>
    <r>
      <rPr>
        <sz val="11"/>
        <rFont val="Linux Libertine G"/>
        <family val="2"/>
        <charset val="1"/>
      </rPr>
      <t xml:space="preserve">$6,660M</t>
    </r>
    <r>
      <rPr>
        <sz val="11"/>
        <rFont val="Linux Libertine G"/>
        <family val="2"/>
      </rPr>
      <t xml:space="preserve">，发债 </t>
    </r>
    <r>
      <rPr>
        <sz val="11"/>
        <rFont val="Linux Libertine G"/>
        <family val="2"/>
        <charset val="1"/>
      </rPr>
      <t xml:space="preserve">$7,500M</t>
    </r>
  </si>
  <si>
    <r>
      <rPr>
        <sz val="11"/>
        <rFont val="Linux Libertine G"/>
        <family val="2"/>
      </rPr>
      <t xml:space="preserve">不操作 → 系统自动借了 </t>
    </r>
    <r>
      <rPr>
        <sz val="11"/>
        <rFont val="Linux Libertine G"/>
        <family val="2"/>
        <charset val="1"/>
      </rPr>
      <t xml:space="preserve">$2,492M </t>
    </r>
    <r>
      <rPr>
        <sz val="11"/>
        <rFont val="Linux Libertine G"/>
        <family val="2"/>
      </rPr>
      <t xml:space="preserve">短贷（</t>
    </r>
    <r>
      <rPr>
        <sz val="11"/>
        <rFont val="Linux Libertine G"/>
        <family val="2"/>
        <charset val="1"/>
      </rPr>
      <t xml:space="preserve">7.5%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</si>
  <si>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$2,500M</t>
    </r>
    <r>
      <rPr>
        <sz val="11"/>
        <rFont val="Linux Libertine G"/>
        <family val="2"/>
      </rPr>
      <t xml:space="preserve">、还清短贷、买 </t>
    </r>
    <r>
      <rPr>
        <sz val="11"/>
        <rFont val="Linux Libertine G"/>
        <family val="2"/>
        <charset val="1"/>
      </rPr>
      <t xml:space="preserve">$2,000M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CD → </t>
    </r>
    <r>
      <rPr>
        <sz val="11"/>
        <rFont val="Linux Libertine G"/>
        <family val="2"/>
      </rPr>
      <t xml:space="preserve">现金不够，系统又自动借了 </t>
    </r>
    <r>
      <rPr>
        <sz val="11"/>
        <rFont val="Linux Libertine G"/>
        <family val="2"/>
        <charset val="1"/>
      </rPr>
      <t xml:space="preserve">$751M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</si>
  <si>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$7,480M</t>
    </r>
    <r>
      <rPr>
        <sz val="11"/>
        <rFont val="Linux Libertine G"/>
        <family val="2"/>
      </rPr>
      <t xml:space="preserve">（上限是市值的 </t>
    </r>
    <r>
      <rPr>
        <sz val="11"/>
        <rFont val="Linux Libertine G"/>
        <family val="2"/>
        <charset val="1"/>
      </rPr>
      <t xml:space="preserve">20%</t>
    </r>
    <r>
      <rPr>
        <sz val="11"/>
        <rFont val="Linux Libertine G"/>
        <family val="2"/>
      </rPr>
      <t xml:space="preserve">）→ 赎回 </t>
    </r>
    <r>
      <rPr>
        <sz val="11"/>
        <rFont val="Linux Libertine G"/>
        <family val="2"/>
        <charset val="1"/>
      </rPr>
      <t xml:space="preserve">$7,500M </t>
    </r>
    <r>
      <rPr>
        <sz val="11"/>
        <rFont val="Linux Libertine G"/>
        <family val="2"/>
      </rPr>
      <t xml:space="preserve">债券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还清 </t>
    </r>
    <r>
      <rPr>
        <sz val="11"/>
        <rFont val="Linux Libertine G"/>
        <family val="2"/>
        <charset val="1"/>
      </rPr>
      <t xml:space="preserve">$751M </t>
    </r>
    <r>
      <rPr>
        <sz val="11"/>
        <rFont val="Linux Libertine G"/>
        <family val="2"/>
      </rPr>
      <t xml:space="preserve">短贷 → 负债为 </t>
    </r>
    <r>
      <rPr>
        <sz val="11"/>
        <rFont val="Linux Libertine G"/>
        <family val="2"/>
        <charset val="1"/>
      </rPr>
      <t xml:space="preserve">0</t>
    </r>
    <r>
      <rPr>
        <sz val="11"/>
        <rFont val="Linux Libertine G"/>
        <family val="2"/>
      </rPr>
      <t xml:space="preserve">；买 </t>
    </r>
    <r>
      <rPr>
        <sz val="11"/>
        <rFont val="Linux Libertine G"/>
        <family val="2"/>
        <charset val="1"/>
      </rPr>
      <t xml:space="preserve">$3,000M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</si>
  <si>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发债和 </t>
    </r>
    <r>
      <rPr>
        <sz val="11"/>
        <rFont val="Arial"/>
        <family val="0"/>
        <charset val="1"/>
      </rPr>
      <t xml:space="preserve">Y2 </t>
    </r>
    <r>
      <rPr>
        <sz val="11"/>
        <rFont val="Linux Libertine G"/>
        <family val="2"/>
      </rPr>
      <t xml:space="preserve">不融资都是错的；增发是对的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</si>
  <si>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$3,526M</t>
    </r>
    <r>
      <rPr>
        <sz val="11"/>
        <rFont val="Linux Libertine G"/>
        <family val="2"/>
      </rPr>
      <t xml:space="preserve">（上限）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还短贷 </t>
    </r>
    <r>
      <rPr>
        <sz val="11"/>
        <rFont val="Linux Libertine G"/>
        <family val="2"/>
        <charset val="1"/>
      </rPr>
      <t xml:space="preserve">$4,000M</t>
    </r>
    <r>
      <rPr>
        <sz val="11"/>
        <rFont val="Linux Libertine G"/>
        <family val="2"/>
      </rPr>
      <t xml:space="preserve">，剩 </t>
    </r>
    <r>
      <rPr>
        <sz val="11"/>
        <rFont val="Linux Libertine G"/>
        <family val="2"/>
        <charset val="1"/>
      </rPr>
      <t xml:space="preserve">$2,660M</t>
    </r>
    <r>
      <rPr>
        <sz val="11"/>
        <rFont val="Linux Libertine G"/>
        <family val="2"/>
      </rPr>
      <t xml:space="preserve">；不发债、不买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</si>
  <si>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$4,581M</t>
    </r>
    <r>
      <rPr>
        <sz val="11"/>
        <rFont val="Linux Libertine G"/>
        <family val="2"/>
      </rPr>
      <t xml:space="preserve">（上限）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还清短贷 </t>
    </r>
    <r>
      <rPr>
        <sz val="11"/>
        <rFont val="Linux Libertine G"/>
        <family val="2"/>
        <charset val="1"/>
      </rPr>
      <t xml:space="preserve">$2,660M → </t>
    </r>
    <r>
      <rPr>
        <sz val="11"/>
        <rFont val="Linux Libertine G"/>
        <family val="2"/>
      </rPr>
      <t xml:space="preserve">负债为 </t>
    </r>
    <r>
      <rPr>
        <sz val="11"/>
        <rFont val="Linux Libertine G"/>
        <family val="2"/>
        <charset val="1"/>
      </rPr>
      <t xml:space="preserve">0</t>
    </r>
  </si>
  <si>
    <r>
      <rPr>
        <sz val="11"/>
        <rFont val="Linux Libertine G"/>
        <family val="2"/>
      </rPr>
      <t xml:space="preserve">不增发；买 </t>
    </r>
    <r>
      <rPr>
        <sz val="11"/>
        <rFont val="Linux Libertine G"/>
        <family val="2"/>
        <charset val="1"/>
      </rPr>
      <t xml:space="preserve">$2,000M CD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3.0%</t>
    </r>
    <r>
      <rPr>
        <sz val="11"/>
        <rFont val="Linux Libertine G"/>
        <family val="2"/>
      </rPr>
      <t xml:space="preserve">）；负债 </t>
    </r>
    <r>
      <rPr>
        <sz val="11"/>
        <rFont val="Linux Libertine G"/>
        <family val="2"/>
        <charset val="1"/>
      </rPr>
      <t xml:space="preserve">0</t>
    </r>
  </si>
  <si>
    <r>
      <rPr>
        <sz val="11"/>
        <rFont val="Linux Libertine G"/>
        <family val="2"/>
      </rPr>
      <t xml:space="preserve">不增发；买 </t>
    </r>
    <r>
      <rPr>
        <sz val="11"/>
        <rFont val="Linux Libertine G"/>
        <family val="2"/>
        <charset val="1"/>
      </rPr>
      <t xml:space="preserve">$10,000M CD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3.5%</t>
    </r>
    <r>
      <rPr>
        <sz val="11"/>
        <rFont val="Linux Libertine G"/>
        <family val="2"/>
      </rPr>
      <t xml:space="preserve">，系统上限）；分红 </t>
    </r>
    <r>
      <rPr>
        <sz val="11"/>
        <rFont val="Linux Libertine G"/>
        <family val="2"/>
        <charset val="1"/>
      </rPr>
      <t xml:space="preserve">$100M</t>
    </r>
    <r>
      <rPr>
        <sz val="11"/>
        <rFont val="Linux Libertine G"/>
        <family val="2"/>
      </rPr>
      <t xml:space="preserve">；负债 </t>
    </r>
    <r>
      <rPr>
        <sz val="11"/>
        <rFont val="Linux Libertine G"/>
        <family val="2"/>
        <charset val="1"/>
      </rPr>
      <t xml:space="preserve">0</t>
    </r>
  </si>
  <si>
    <r>
      <rPr>
        <sz val="11"/>
        <rFont val="Linux Libertine G"/>
        <family val="2"/>
      </rPr>
      <t xml:space="preserve">不增发；</t>
    </r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到期 </t>
    </r>
    <r>
      <rPr>
        <sz val="11"/>
        <rFont val="Linux Libertine G"/>
        <family val="2"/>
        <charset val="1"/>
      </rPr>
      <t xml:space="preserve">$10,000M</t>
    </r>
    <r>
      <rPr>
        <sz val="11"/>
        <rFont val="Linux Libertine G"/>
        <family val="2"/>
      </rPr>
      <t xml:space="preserve">，再买 </t>
    </r>
    <r>
      <rPr>
        <sz val="11"/>
        <rFont val="Linux Libertine G"/>
        <family val="2"/>
        <charset val="1"/>
      </rPr>
      <t xml:space="preserve">$10,000M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3.0%</t>
    </r>
    <r>
      <rPr>
        <sz val="11"/>
        <rFont val="Linux Libertine G"/>
        <family val="2"/>
      </rPr>
      <t xml:space="preserve">）；分红 </t>
    </r>
    <r>
      <rPr>
        <sz val="11"/>
        <rFont val="Linux Libertine G"/>
        <family val="2"/>
        <charset val="1"/>
      </rPr>
      <t xml:space="preserve">$1,440M</t>
    </r>
    <r>
      <rPr>
        <sz val="11"/>
        <rFont val="Linux Libertine G"/>
        <family val="2"/>
      </rPr>
      <t xml:space="preserve">（每股 </t>
    </r>
    <r>
      <rPr>
        <sz val="11"/>
        <rFont val="Linux Libertine G"/>
        <family val="2"/>
        <charset val="1"/>
      </rPr>
      <t xml:space="preserve">$2.00</t>
    </r>
    <r>
      <rPr>
        <sz val="11"/>
        <rFont val="Linux Libertine G"/>
        <family val="2"/>
      </rPr>
      <t xml:space="preserve">）；负债 </t>
    </r>
    <r>
      <rPr>
        <sz val="11"/>
        <rFont val="Linux Libertine G"/>
        <family val="2"/>
        <charset val="1"/>
      </rPr>
      <t xml:space="preserve">0</t>
    </r>
  </si>
  <si>
    <t xml:space="preserve">Decision Rationale</t>
  </si>
  <si>
    <r>
      <rPr>
        <sz val="11"/>
        <rFont val="Linux Libertine G"/>
        <family val="2"/>
      </rPr>
      <t xml:space="preserve">英文，用 </t>
    </r>
    <r>
      <rPr>
        <sz val="11"/>
        <rFont val="Linux Libertine G"/>
        <family val="2"/>
        <charset val="1"/>
      </rPr>
      <t xml:space="preserve">humanizer </t>
    </r>
    <r>
      <rPr>
        <sz val="11"/>
        <rFont val="Linux Libertine G"/>
        <family val="2"/>
      </rPr>
      <t xml:space="preserve">润色后保存</t>
    </r>
  </si>
  <si>
    <r>
      <rPr>
        <sz val="11"/>
        <rFont val="Linux Libertine G"/>
        <family val="2"/>
      </rPr>
      <t xml:space="preserve">规则：每次都要先用 </t>
    </r>
    <r>
      <rPr>
        <sz val="11"/>
        <rFont val="Linux Libertine G"/>
        <family val="2"/>
        <charset val="1"/>
      </rPr>
      <t xml:space="preserve">humanizer </t>
    </r>
    <r>
      <rPr>
        <sz val="11"/>
        <rFont val="Linux Libertine G"/>
        <family val="2"/>
      </rPr>
      <t xml:space="preserve">再保存</t>
    </r>
  </si>
  <si>
    <r>
      <rPr>
        <sz val="11"/>
        <rFont val="Linux Libertine G"/>
        <family val="2"/>
      </rPr>
      <t xml:space="preserve">英文，用 </t>
    </r>
    <r>
      <rPr>
        <sz val="11"/>
        <rFont val="Linux Libertine G"/>
        <family val="2"/>
        <charset val="1"/>
      </rPr>
      <t xml:space="preserve">humanizer </t>
    </r>
    <r>
      <rPr>
        <sz val="11"/>
        <rFont val="Linux Libertine G"/>
        <family val="2"/>
      </rPr>
      <t xml:space="preserve">润色后保存；署名 组员丙；</t>
    </r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改决策后重写</t>
    </r>
  </si>
  <si>
    <r>
      <rPr>
        <sz val="11"/>
        <rFont val="Linux Libertine G"/>
        <family val="2"/>
      </rPr>
      <t xml:space="preserve">英文，按 </t>
    </r>
    <r>
      <rPr>
        <sz val="11"/>
        <rFont val="Linux Libertine G"/>
        <family val="2"/>
        <charset val="1"/>
      </rPr>
      <t xml:space="preserve">humanizer </t>
    </r>
    <r>
      <rPr>
        <sz val="11"/>
        <rFont val="Linux Libertine G"/>
        <family val="2"/>
      </rPr>
      <t xml:space="preserve">规则润色后保存；署名 组员丁（用户 </t>
    </r>
    <r>
      <rPr>
        <sz val="11"/>
        <rFont val="Linux Libertine G"/>
        <family val="2"/>
        <charset val="1"/>
      </rPr>
      <t xml:space="preserve">10/27 </t>
    </r>
    <r>
      <rPr>
        <sz val="11"/>
        <rFont val="Linux Libertine G"/>
        <family val="2"/>
      </rPr>
      <t xml:space="preserve">确认）</t>
    </r>
  </si>
  <si>
    <r>
      <rPr>
        <b val="true"/>
        <sz val="14"/>
        <rFont val="Linux Libertine G"/>
        <family val="2"/>
      </rPr>
      <t xml:space="preserve">每年的结果（</t>
    </r>
    <r>
      <rPr>
        <b val="true"/>
        <sz val="14"/>
        <rFont val="Linux Libertine G"/>
        <family val="2"/>
        <charset val="1"/>
      </rPr>
      <t xml:space="preserve">$M</t>
    </r>
    <r>
      <rPr>
        <b val="true"/>
        <sz val="14"/>
        <rFont val="Linux Libertine G"/>
        <family val="2"/>
      </rPr>
      <t xml:space="preserve">，除非另有说明）</t>
    </r>
  </si>
  <si>
    <r>
      <rPr>
        <i val="true"/>
        <sz val="11"/>
        <color rgb="FF595959"/>
        <rFont val="Arial"/>
        <family val="0"/>
        <charset val="1"/>
      </rPr>
      <t xml:space="preserve">Year 1–4 </t>
    </r>
    <r>
      <rPr>
        <i val="true"/>
        <sz val="11"/>
        <color rgb="FF595959"/>
        <rFont val="Linux Libertine G"/>
        <family val="2"/>
      </rPr>
      <t xml:space="preserve">都是实际结果。</t>
    </r>
    <r>
      <rPr>
        <i val="true"/>
        <sz val="11"/>
        <color rgb="FF595959"/>
        <rFont val="Arial"/>
        <family val="0"/>
        <charset val="1"/>
      </rPr>
      <t xml:space="preserve">Pro-Forma </t>
    </r>
    <r>
      <rPr>
        <i val="true"/>
        <sz val="11"/>
        <color rgb="FF595959"/>
        <rFont val="Linux Libertine G"/>
        <family val="2"/>
      </rPr>
      <t xml:space="preserve">是按“全部卖光”算的：</t>
    </r>
    <r>
      <rPr>
        <i val="true"/>
        <sz val="11"/>
        <color rgb="FF595959"/>
        <rFont val="Arial"/>
        <family val="0"/>
        <charset val="1"/>
      </rPr>
      <t xml:space="preserve">Y2 </t>
    </r>
    <r>
      <rPr>
        <i val="true"/>
        <sz val="11"/>
        <color rgb="FF595959"/>
        <rFont val="Linux Libertine G"/>
        <family val="2"/>
      </rPr>
      <t xml:space="preserve">实际比预测少 </t>
    </r>
    <r>
      <rPr>
        <i val="true"/>
        <sz val="11"/>
        <color rgb="FF595959"/>
        <rFont val="Arial"/>
        <family val="0"/>
        <charset val="1"/>
      </rPr>
      <t xml:space="preserve">$692M</t>
    </r>
    <r>
      <rPr>
        <i val="true"/>
        <sz val="11"/>
        <color rgb="FF595959"/>
        <rFont val="Linux Libertine G"/>
        <family val="2"/>
      </rPr>
      <t xml:space="preserve">，</t>
    </r>
    <r>
      <rPr>
        <i val="true"/>
        <sz val="11"/>
        <color rgb="FF595959"/>
        <rFont val="Arial"/>
        <family val="0"/>
        <charset val="1"/>
      </rPr>
      <t xml:space="preserve">Y3 </t>
    </r>
    <r>
      <rPr>
        <i val="true"/>
        <sz val="11"/>
        <color rgb="FF595959"/>
        <rFont val="Linux Libertine G"/>
        <family val="2"/>
      </rPr>
      <t xml:space="preserve">少 </t>
    </r>
    <r>
      <rPr>
        <i val="true"/>
        <sz val="11"/>
        <color rgb="FF595959"/>
        <rFont val="Arial"/>
        <family val="0"/>
        <charset val="1"/>
      </rPr>
      <t xml:space="preserve">$695M</t>
    </r>
    <r>
      <rPr>
        <i val="true"/>
        <sz val="11"/>
        <color rgb="FF595959"/>
        <rFont val="Linux Libertine G"/>
        <family val="2"/>
      </rPr>
      <t xml:space="preserve">；</t>
    </r>
    <r>
      <rPr>
        <i val="true"/>
        <sz val="11"/>
        <color rgb="FF595959"/>
        <rFont val="Arial"/>
        <family val="0"/>
        <charset val="1"/>
      </rPr>
      <t xml:space="preserve">Y4 </t>
    </r>
    <r>
      <rPr>
        <i val="true"/>
        <sz val="11"/>
        <color rgb="FF595959"/>
        <rFont val="Linux Libertine G"/>
        <family val="2"/>
      </rPr>
      <t xml:space="preserve">全部缺货、</t>
    </r>
    <r>
      <rPr>
        <i val="true"/>
        <sz val="11"/>
        <color rgb="FF595959"/>
        <rFont val="Arial"/>
        <family val="0"/>
        <charset val="1"/>
      </rPr>
      <t xml:space="preserve">Flex </t>
    </r>
    <r>
      <rPr>
        <i val="true"/>
        <sz val="11"/>
        <color rgb="FF595959"/>
        <rFont val="Linux Libertine G"/>
        <family val="2"/>
      </rPr>
      <t xml:space="preserve">多卖了 </t>
    </r>
    <r>
      <rPr>
        <i val="true"/>
        <sz val="11"/>
        <color rgb="FF595959"/>
        <rFont val="Arial"/>
        <family val="0"/>
        <charset val="1"/>
      </rPr>
      <t xml:space="preserve">214K </t>
    </r>
    <r>
      <rPr>
        <i val="true"/>
        <sz val="11"/>
        <color rgb="FF595959"/>
        <rFont val="Linux Libertine G"/>
        <family val="2"/>
      </rPr>
      <t xml:space="preserve">辆，所以实际反而比预测多 </t>
    </r>
    <r>
      <rPr>
        <i val="true"/>
        <sz val="11"/>
        <color rgb="FF595959"/>
        <rFont val="Arial"/>
        <family val="0"/>
        <charset val="1"/>
      </rPr>
      <t xml:space="preserve">$600M</t>
    </r>
    <r>
      <rPr>
        <i val="true"/>
        <sz val="11"/>
        <color rgb="FF595959"/>
        <rFont val="Linux Libertine G"/>
        <family val="2"/>
      </rPr>
      <t xml:space="preserve">。  </t>
    </r>
    <r>
      <rPr>
        <i val="true"/>
        <sz val="11"/>
        <color rgb="FF595959"/>
        <rFont val="Arial"/>
        <family val="0"/>
        <charset val="1"/>
      </rPr>
      <t xml:space="preserve">H </t>
    </r>
    <r>
      <rPr>
        <i val="true"/>
        <sz val="11"/>
        <color rgb="FF595959"/>
        <rFont val="Linux Libertine G"/>
        <family val="2"/>
      </rPr>
      <t xml:space="preserve">列是正式比赛 </t>
    </r>
    <r>
      <rPr>
        <i val="true"/>
        <sz val="11"/>
        <color rgb="FF595959"/>
        <rFont val="Arial"/>
        <family val="0"/>
        <charset val="1"/>
      </rPr>
      <t xml:space="preserve">Year 1 </t>
    </r>
    <r>
      <rPr>
        <i val="true"/>
        <sz val="11"/>
        <color rgb="FF595959"/>
        <rFont val="Linux Libertine G"/>
        <family val="2"/>
      </rPr>
      <t xml:space="preserve">的实际结果（</t>
    </r>
    <r>
      <rPr>
        <i val="true"/>
        <sz val="11"/>
        <color rgb="FF595959"/>
        <rFont val="Arial"/>
        <family val="0"/>
        <charset val="1"/>
      </rPr>
      <t xml:space="preserve">10/16 </t>
    </r>
    <r>
      <rPr>
        <i val="true"/>
        <sz val="11"/>
        <color rgb="FF595959"/>
        <rFont val="Linux Libertine G"/>
        <family val="2"/>
      </rPr>
      <t xml:space="preserve">出），</t>
    </r>
    <r>
      <rPr>
        <i val="true"/>
        <sz val="11"/>
        <color rgb="FF595959"/>
        <rFont val="Arial"/>
        <family val="0"/>
        <charset val="1"/>
      </rPr>
      <t xml:space="preserve">I </t>
    </r>
    <r>
      <rPr>
        <i val="true"/>
        <sz val="11"/>
        <color rgb="FF595959"/>
        <rFont val="Linux Libertine G"/>
        <family val="2"/>
      </rPr>
      <t xml:space="preserve">列是当时的 </t>
    </r>
    <r>
      <rPr>
        <i val="true"/>
        <sz val="11"/>
        <color rgb="FF595959"/>
        <rFont val="Arial"/>
        <family val="0"/>
        <charset val="1"/>
      </rPr>
      <t xml:space="preserve">Pro-Forma </t>
    </r>
    <r>
      <rPr>
        <i val="true"/>
        <sz val="11"/>
        <color rgb="FF595959"/>
        <rFont val="Linux Libertine G"/>
        <family val="2"/>
      </rPr>
      <t xml:space="preserve">预测。 </t>
    </r>
    <r>
      <rPr>
        <i val="true"/>
        <sz val="11"/>
        <color rgb="FF595959"/>
        <rFont val="Arial"/>
        <family val="0"/>
        <charset val="1"/>
      </rPr>
      <t xml:space="preserve">J </t>
    </r>
    <r>
      <rPr>
        <i val="true"/>
        <sz val="11"/>
        <color rgb="FF595959"/>
        <rFont val="Linux Libertine G"/>
        <family val="2"/>
      </rPr>
      <t xml:space="preserve">列是正式比赛 </t>
    </r>
    <r>
      <rPr>
        <i val="true"/>
        <sz val="11"/>
        <color rgb="FF595959"/>
        <rFont val="Arial"/>
        <family val="0"/>
        <charset val="1"/>
      </rPr>
      <t xml:space="preserve">Year 2 </t>
    </r>
    <r>
      <rPr>
        <i val="true"/>
        <sz val="11"/>
        <color rgb="FF595959"/>
        <rFont val="Linux Libertine G"/>
        <family val="2"/>
      </rPr>
      <t xml:space="preserve">的 </t>
    </r>
    <r>
      <rPr>
        <i val="true"/>
        <sz val="11"/>
        <color rgb="FF595959"/>
        <rFont val="Arial"/>
        <family val="0"/>
        <charset val="1"/>
      </rPr>
      <t xml:space="preserve">Pro-Forma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Arial"/>
        <family val="0"/>
        <charset val="1"/>
      </rPr>
      <t xml:space="preserve">10/16</t>
    </r>
    <r>
      <rPr>
        <i val="true"/>
        <sz val="11"/>
        <color rgb="FF595959"/>
        <rFont val="Linux Libertine G"/>
        <family val="2"/>
      </rPr>
      <t xml:space="preserve">），实际结果 </t>
    </r>
    <r>
      <rPr>
        <i val="true"/>
        <sz val="11"/>
        <color rgb="FF595959"/>
        <rFont val="Arial"/>
        <family val="0"/>
        <charset val="1"/>
      </rPr>
      <t xml:space="preserve">10/16 </t>
    </r>
    <r>
      <rPr>
        <i val="true"/>
        <sz val="11"/>
        <color rgb="FF595959"/>
        <rFont val="Linux Libertine G"/>
        <family val="2"/>
      </rPr>
      <t xml:space="preserve">晚推进后补。 </t>
    </r>
    <r>
      <rPr>
        <i val="true"/>
        <sz val="11"/>
        <color rgb="FF595959"/>
        <rFont val="Arial"/>
        <family val="0"/>
        <charset val="1"/>
      </rPr>
      <t xml:space="preserve">K </t>
    </r>
    <r>
      <rPr>
        <i val="true"/>
        <sz val="11"/>
        <color rgb="FF595959"/>
        <rFont val="Linux Libertine G"/>
        <family val="2"/>
      </rPr>
      <t xml:space="preserve">列是正式比赛 </t>
    </r>
    <r>
      <rPr>
        <i val="true"/>
        <sz val="11"/>
        <color rgb="FF595959"/>
        <rFont val="Arial"/>
        <family val="0"/>
        <charset val="1"/>
      </rPr>
      <t xml:space="preserve">Year 2 </t>
    </r>
    <r>
      <rPr>
        <i val="true"/>
        <sz val="11"/>
        <color rgb="FF595959"/>
        <rFont val="Linux Libertine G"/>
        <family val="2"/>
      </rPr>
      <t xml:space="preserve">的实际结果（</t>
    </r>
    <r>
      <rPr>
        <i val="true"/>
        <sz val="11"/>
        <color rgb="FF595959"/>
        <rFont val="Arial"/>
        <family val="0"/>
        <charset val="1"/>
      </rPr>
      <t xml:space="preserve">10/17 </t>
    </r>
    <r>
      <rPr>
        <i val="true"/>
        <sz val="11"/>
        <color rgb="FF595959"/>
        <rFont val="Linux Libertine G"/>
        <family val="2"/>
      </rPr>
      <t xml:space="preserve">出）。 </t>
    </r>
    <r>
      <rPr>
        <i val="true"/>
        <sz val="11"/>
        <color rgb="FF595959"/>
        <rFont val="Arial"/>
        <family val="0"/>
        <charset val="1"/>
      </rPr>
      <t xml:space="preserve">L </t>
    </r>
    <r>
      <rPr>
        <i val="true"/>
        <sz val="11"/>
        <color rgb="FF595959"/>
        <rFont val="Linux Libertine G"/>
        <family val="2"/>
      </rPr>
      <t xml:space="preserve">列是正式比赛 </t>
    </r>
    <r>
      <rPr>
        <i val="true"/>
        <sz val="11"/>
        <color rgb="FF595959"/>
        <rFont val="Arial"/>
        <family val="0"/>
        <charset val="1"/>
      </rPr>
      <t xml:space="preserve">Year 3 </t>
    </r>
    <r>
      <rPr>
        <i val="true"/>
        <sz val="11"/>
        <color rgb="FF595959"/>
        <rFont val="Linux Libertine G"/>
        <family val="2"/>
      </rPr>
      <t xml:space="preserve">的 </t>
    </r>
    <r>
      <rPr>
        <i val="true"/>
        <sz val="11"/>
        <color rgb="FF595959"/>
        <rFont val="Arial"/>
        <family val="0"/>
        <charset val="1"/>
      </rPr>
      <t xml:space="preserve">Pro-Forma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Arial"/>
        <family val="0"/>
        <charset val="1"/>
      </rPr>
      <t xml:space="preserve">10/17</t>
    </r>
    <r>
      <rPr>
        <i val="true"/>
        <sz val="11"/>
        <color rgb="FF595959"/>
        <rFont val="Linux Libertine G"/>
        <family val="2"/>
      </rPr>
      <t xml:space="preserve">）。</t>
    </r>
  </si>
  <si>
    <t xml:space="preserve">指标</t>
  </si>
  <si>
    <r>
      <rPr>
        <b val="true"/>
        <sz val="11"/>
        <color rgb="FFFFFFFF"/>
        <rFont val="Arial"/>
        <family val="0"/>
        <charset val="1"/>
      </rPr>
      <t xml:space="preserve">Start</t>
    </r>
    <r>
      <rPr>
        <b val="true"/>
        <sz val="11"/>
        <color rgb="FFFFFFFF"/>
        <rFont val="Linux Libertine G"/>
        <family val="2"/>
      </rPr>
      <t xml:space="preserve">（起点）</t>
    </r>
  </si>
  <si>
    <t xml:space="preserve">说明</t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</si>
  <si>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Y1</t>
    </r>
    <r>
      <rPr>
        <b val="true"/>
        <sz val="11"/>
        <color rgb="FFFFFFFF"/>
        <rFont val="Linux Libertine G"/>
        <family val="2"/>
      </rPr>
      <t xml:space="preserve">（实际）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</si>
  <si>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Y1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Pro-Forma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</si>
  <si>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Y2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Pro-Forma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</si>
  <si>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Y2</t>
    </r>
    <r>
      <rPr>
        <b val="true"/>
        <sz val="11"/>
        <color rgb="FFFFFFFF"/>
        <rFont val="Linux Libertine G"/>
        <family val="2"/>
      </rPr>
      <t xml:space="preserve">（实际）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</si>
  <si>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Y3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Pro-Forma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</si>
  <si>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Y3</t>
    </r>
    <r>
      <rPr>
        <b val="true"/>
        <sz val="11"/>
        <color rgb="FFFFFFFF"/>
        <rFont val="Linux Libertine G"/>
        <family val="2"/>
      </rPr>
      <t xml:space="preserve">（实际）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</si>
  <si>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Y4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Pro-Forma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</si>
  <si>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Y4</t>
    </r>
    <r>
      <rPr>
        <b val="true"/>
        <sz val="11"/>
        <color rgb="FFFFFFFF"/>
        <rFont val="Linux Libertine G"/>
        <family val="2"/>
      </rPr>
      <t xml:space="preserve">（实际）</t>
    </r>
  </si>
  <si>
    <r>
      <rPr>
        <b val="true"/>
        <sz val="11"/>
        <color rgb="FFFFFFFF"/>
        <rFont val="Linux Libertine G"/>
        <family val="2"/>
      </rPr>
      <t xml:space="preserve">正式 </t>
    </r>
    <r>
      <rPr>
        <b val="true"/>
        <sz val="11"/>
        <color rgb="FFFFFFFF"/>
        <rFont val="Linux Libertine G"/>
        <family val="2"/>
        <charset val="1"/>
      </rPr>
      <t xml:space="preserve">Y5</t>
    </r>
    <r>
      <rPr>
        <b val="true"/>
        <sz val="11"/>
        <color rgb="FFFFFFFF"/>
        <rFont val="Linux Libertine G"/>
        <family val="2"/>
      </rPr>
      <t xml:space="preserve">（</t>
    </r>
    <r>
      <rPr>
        <b val="true"/>
        <sz val="11"/>
        <color rgb="FFFFFFFF"/>
        <rFont val="Linux Libertine G"/>
        <family val="2"/>
        <charset val="1"/>
      </rPr>
      <t xml:space="preserve">Pro-Forma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</si>
  <si>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净利润</t>
  </si>
  <si>
    <r>
      <rPr>
        <sz val="11"/>
        <rFont val="Linux Libertine G"/>
        <family val="2"/>
      </rPr>
      <t xml:space="preserve">七家第 </t>
    </r>
    <r>
      <rPr>
        <sz val="11"/>
        <rFont val="Linux Libertine G"/>
        <family val="2"/>
        <charset val="1"/>
      </rPr>
      <t xml:space="preserve">1</t>
    </r>
    <r>
      <rPr>
        <sz val="11"/>
        <rFont val="Linux Libertine G"/>
        <family val="2"/>
      </rPr>
      <t xml:space="preserve">（第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名 </t>
    </r>
    <r>
      <rPr>
        <sz val="11"/>
        <rFont val="Linux Libertine G"/>
        <family val="2"/>
        <charset val="1"/>
      </rPr>
      <t xml:space="preserve">E </t>
    </r>
    <r>
      <rPr>
        <sz val="11"/>
        <rFont val="Linux Libertine G"/>
        <family val="2"/>
      </rPr>
      <t xml:space="preserve">只有 </t>
    </r>
    <r>
      <rPr>
        <sz val="11"/>
        <rFont val="Linux Libertine G"/>
        <family val="2"/>
        <charset val="1"/>
      </rPr>
      <t xml:space="preserve">$1,532M</t>
    </r>
    <r>
      <rPr>
        <sz val="11"/>
        <rFont val="Linux Libertine G"/>
        <family val="2"/>
      </rPr>
      <t xml:space="preserve">）</t>
    </r>
  </si>
  <si>
    <t xml:space="preserve">营收</t>
  </si>
  <si>
    <r>
      <rPr>
        <sz val="11"/>
        <rFont val="Linux Libertine G"/>
        <family val="2"/>
      </rPr>
      <t xml:space="preserve">四款车全部缺货超过 </t>
    </r>
    <r>
      <rPr>
        <sz val="11"/>
        <rFont val="Linux Libertine G"/>
        <family val="2"/>
        <charset val="1"/>
      </rPr>
      <t xml:space="preserve">30%</t>
    </r>
  </si>
  <si>
    <t xml:space="preserve">净利率</t>
  </si>
  <si>
    <r>
      <rPr>
        <sz val="11"/>
        <rFont val="Linux Libertine G"/>
        <family val="2"/>
      </rPr>
      <t xml:space="preserve">公式：净利润 </t>
    </r>
    <r>
      <rPr>
        <sz val="11"/>
        <rFont val="Linux Libertine G"/>
        <family val="2"/>
        <charset val="1"/>
      </rPr>
      <t xml:space="preserve">÷ </t>
    </r>
    <r>
      <rPr>
        <sz val="11"/>
        <rFont val="Linux Libertine G"/>
        <family val="2"/>
      </rPr>
      <t xml:space="preserve">营收；老师要求至少 </t>
    </r>
    <r>
      <rPr>
        <sz val="11"/>
        <rFont val="Linux Libertine G"/>
        <family val="2"/>
        <charset val="1"/>
      </rPr>
      <t xml:space="preserve">4.5%</t>
    </r>
  </si>
  <si>
    <t xml:space="preserve">累计净利润</t>
  </si>
  <si>
    <r>
      <rPr>
        <sz val="11"/>
        <rFont val="Linux Libertine G"/>
        <family val="2"/>
      </rPr>
      <t xml:space="preserve">公式：按系统 </t>
    </r>
    <r>
      <rPr>
        <sz val="11"/>
        <rFont val="Linux Libertine G"/>
        <family val="2"/>
        <charset val="1"/>
      </rPr>
      <t xml:space="preserve">Dashboard </t>
    </r>
    <r>
      <rPr>
        <sz val="11"/>
        <rFont val="Linux Libertine G"/>
        <family val="2"/>
      </rPr>
      <t xml:space="preserve">的口径（含 </t>
    </r>
    <r>
      <rPr>
        <sz val="11"/>
        <rFont val="Linux Libertine G"/>
        <family val="2"/>
        <charset val="1"/>
      </rPr>
      <t xml:space="preserve">Start </t>
    </r>
    <r>
      <rPr>
        <sz val="11"/>
        <rFont val="Linux Libertine G"/>
        <family val="2"/>
      </rPr>
      <t xml:space="preserve">年）</t>
    </r>
  </si>
  <si>
    <r>
      <rPr>
        <b val="true"/>
        <sz val="11"/>
        <rFont val="Arial"/>
        <family val="0"/>
        <charset val="1"/>
      </rPr>
      <t xml:space="preserve">Pro-Forma </t>
    </r>
    <r>
      <rPr>
        <b val="true"/>
        <sz val="11"/>
        <rFont val="Linux Libertine G"/>
        <family val="2"/>
      </rPr>
      <t xml:space="preserve">预测的净利润</t>
    </r>
  </si>
  <si>
    <t xml:space="preserve">每年都偏乐观</t>
  </si>
  <si>
    <t xml:space="preserve">实际 − 预测</t>
  </si>
  <si>
    <r>
      <rPr>
        <sz val="11"/>
        <rFont val="Linux Libertine G"/>
        <family val="2"/>
      </rPr>
      <t xml:space="preserve">公式：负数表示 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高估了</t>
    </r>
  </si>
  <si>
    <r>
      <rPr>
        <b val="true"/>
        <sz val="11"/>
        <rFont val="Linux Libertine G"/>
        <family val="2"/>
      </rPr>
      <t xml:space="preserve">股价（</t>
    </r>
    <r>
      <rPr>
        <b val="true"/>
        <sz val="11"/>
        <rFont val="Linux Libertine G"/>
        <family val="2"/>
        <charset val="1"/>
      </rPr>
      <t xml:space="preserve">$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</si>
  <si>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增发了 </t>
    </r>
    <r>
      <rPr>
        <sz val="11"/>
        <rFont val="Arial"/>
        <family val="0"/>
        <charset val="1"/>
      </rPr>
      <t xml:space="preserve">1.12 </t>
    </r>
    <r>
      <rPr>
        <sz val="11"/>
        <rFont val="Linux Libertine G"/>
        <family val="2"/>
      </rPr>
      <t xml:space="preserve">亿股，股价还是涨了 </t>
    </r>
    <r>
      <rPr>
        <sz val="11"/>
        <rFont val="Arial"/>
        <family val="0"/>
        <charset val="1"/>
      </rPr>
      <t xml:space="preserve">37%</t>
    </r>
  </si>
  <si>
    <t xml:space="preserve">市值</t>
  </si>
  <si>
    <r>
      <rPr>
        <sz val="11"/>
        <rFont val="Linux Libertine G"/>
        <family val="2"/>
      </rPr>
      <t xml:space="preserve">七家第 </t>
    </r>
    <r>
      <rPr>
        <sz val="11"/>
        <rFont val="Linux Libertine G"/>
        <family val="2"/>
        <charset val="1"/>
      </rPr>
      <t xml:space="preserve">1</t>
    </r>
    <r>
      <rPr>
        <sz val="11"/>
        <rFont val="Linux Libertine G"/>
        <family val="2"/>
      </rPr>
      <t xml:space="preserve">，是第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名 </t>
    </r>
    <r>
      <rPr>
        <sz val="11"/>
        <rFont val="Linux Libertine G"/>
        <family val="2"/>
        <charset val="1"/>
      </rPr>
      <t xml:space="preserve">F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$30.9B</t>
    </r>
    <r>
      <rPr>
        <sz val="11"/>
        <rFont val="Linux Libertine G"/>
        <family val="2"/>
      </rPr>
      <t xml:space="preserve">）的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倍</t>
    </r>
  </si>
  <si>
    <t xml:space="preserve">Firm Preference</t>
  </si>
  <si>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1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F 17.7% </t>
    </r>
    <r>
      <rPr>
        <sz val="11"/>
        <rFont val="Linux Libertine G"/>
        <family val="2"/>
      </rPr>
      <t xml:space="preserve">第二）</t>
    </r>
  </si>
  <si>
    <t xml:space="preserve">库存天数</t>
  </si>
  <si>
    <t xml:space="preserve">四款车全部卖光</t>
  </si>
  <si>
    <t xml:space="preserve">期末现金</t>
  </si>
  <si>
    <r>
      <rPr>
        <sz val="11"/>
        <rFont val="Linux Libertine G"/>
        <family val="2"/>
      </rPr>
      <t xml:space="preserve">另有 </t>
    </r>
    <r>
      <rPr>
        <sz val="11"/>
        <rFont val="Linux Libertine G"/>
        <family val="2"/>
        <charset val="1"/>
      </rPr>
      <t xml:space="preserve">$3,000M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CD</t>
    </r>
    <r>
      <rPr>
        <sz val="11"/>
        <rFont val="Linux Libertine G"/>
        <family val="2"/>
      </rPr>
      <t xml:space="preserve">；没有被系统借贷</t>
    </r>
  </si>
  <si>
    <t xml:space="preserve">总负债</t>
  </si>
  <si>
    <t xml:space="preserve">债券全部赎回，短贷还清</t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</si>
  <si>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Year 1 </t>
    </r>
    <r>
      <rPr>
        <b val="true"/>
        <sz val="14"/>
        <rFont val="Linux Libertine G"/>
        <family val="2"/>
      </rPr>
      <t xml:space="preserve">结果复盘（</t>
    </r>
    <r>
      <rPr>
        <b val="true"/>
        <sz val="14"/>
        <rFont val="Linux Libertine G"/>
        <family val="2"/>
        <charset val="1"/>
      </rPr>
      <t xml:space="preserve">10/16 </t>
    </r>
    <r>
      <rPr>
        <b val="true"/>
        <sz val="14"/>
        <rFont val="Linux Libertine G"/>
        <family val="2"/>
      </rPr>
      <t xml:space="preserve">出结果）</t>
    </r>
  </si>
  <si>
    <r>
      <rPr>
        <i val="true"/>
        <sz val="11"/>
        <color rgb="FF595959"/>
        <rFont val="Linux Libertine G"/>
        <family val="2"/>
      </rPr>
      <t xml:space="preserve">七家里排第 </t>
    </r>
    <r>
      <rPr>
        <i val="true"/>
        <sz val="11"/>
        <color rgb="FF595959"/>
        <rFont val="Linux Libertine G"/>
        <family val="2"/>
        <charset val="1"/>
      </rPr>
      <t xml:space="preserve">2</t>
    </r>
    <r>
      <rPr>
        <i val="true"/>
        <sz val="11"/>
        <color rgb="FF595959"/>
        <rFont val="Linux Libertine G"/>
        <family val="2"/>
      </rPr>
      <t xml:space="preserve">（净利、市值都是第 </t>
    </r>
    <r>
      <rPr>
        <i val="true"/>
        <sz val="11"/>
        <color rgb="FF595959"/>
        <rFont val="Linux Libertine G"/>
        <family val="2"/>
        <charset val="1"/>
      </rPr>
      <t xml:space="preserve">2</t>
    </r>
    <r>
      <rPr>
        <i val="true"/>
        <sz val="11"/>
        <color rgb="FF595959"/>
        <rFont val="Linux Libertine G"/>
        <family val="2"/>
      </rPr>
      <t xml:space="preserve">，第 </t>
    </r>
    <r>
      <rPr>
        <i val="true"/>
        <sz val="11"/>
        <color rgb="FF595959"/>
        <rFont val="Linux Libertine G"/>
        <family val="2"/>
        <charset val="1"/>
      </rPr>
      <t xml:space="preserve">1 </t>
    </r>
    <r>
      <rPr>
        <i val="true"/>
        <sz val="11"/>
        <color rgb="FF595959"/>
        <rFont val="Linux Libertine G"/>
        <family val="2"/>
      </rPr>
      <t xml:space="preserve">名 </t>
    </r>
    <r>
      <rPr>
        <i val="true"/>
        <sz val="11"/>
        <color rgb="FF595959"/>
        <rFont val="Linux Libertine G"/>
        <family val="2"/>
        <charset val="1"/>
      </rPr>
      <t xml:space="preserve">G</t>
    </r>
    <r>
      <rPr>
        <i val="true"/>
        <sz val="11"/>
        <color rgb="FF595959"/>
        <rFont val="Linux Libertine G"/>
        <family val="2"/>
      </rPr>
      <t xml:space="preserve">）。下面是：我们怎么预测的、实际多少、为什么有差距；每个数据为什么涨跌；同行业为什么是他们第一。和 </t>
    </r>
    <r>
      <rPr>
        <i val="true"/>
        <sz val="11"/>
        <color rgb="FF595959"/>
        <rFont val="Linux Libertine G"/>
        <family val="2"/>
        <charset val="1"/>
      </rPr>
      <t xml:space="preserve">md 0c </t>
    </r>
    <r>
      <rPr>
        <i val="true"/>
        <sz val="11"/>
        <color rgb="FF595959"/>
        <rFont val="Linux Libertine G"/>
        <family val="2"/>
      </rPr>
      <t xml:space="preserve">节“正式 </t>
    </r>
    <r>
      <rPr>
        <i val="true"/>
        <sz val="11"/>
        <color rgb="FF595959"/>
        <rFont val="Linux Libertine G"/>
        <family val="2"/>
        <charset val="1"/>
      </rPr>
      <t xml:space="preserve">Year 1 </t>
    </r>
    <r>
      <rPr>
        <i val="true"/>
        <sz val="11"/>
        <color rgb="FF595959"/>
        <rFont val="Linux Libertine G"/>
        <family val="2"/>
      </rPr>
      <t xml:space="preserve">结果复盘”同步。</t>
    </r>
    <r>
      <rPr>
        <i val="true"/>
        <sz val="11"/>
        <color rgb="FF595959"/>
        <rFont val="Linux Libertine G"/>
        <family val="2"/>
        <charset val="1"/>
      </rPr>
      <t xml:space="preserve">[</t>
    </r>
    <r>
      <rPr>
        <i val="true"/>
        <sz val="11"/>
        <color rgb="FF595959"/>
        <rFont val="Linux Libertine G"/>
        <family val="2"/>
      </rPr>
      <t xml:space="preserve">推断</t>
    </r>
    <r>
      <rPr>
        <i val="true"/>
        <sz val="11"/>
        <color rgb="FF595959"/>
        <rFont val="Linux Libertine G"/>
        <family val="2"/>
        <charset val="1"/>
      </rPr>
      <t xml:space="preserve">] </t>
    </r>
    <r>
      <rPr>
        <i val="true"/>
        <sz val="11"/>
        <color rgb="FF595959"/>
        <rFont val="Linux Libertine G"/>
        <family val="2"/>
      </rPr>
      <t xml:space="preserve">是推出来的，系统没有直接给。</t>
    </r>
  </si>
  <si>
    <r>
      <rPr>
        <b val="true"/>
        <sz val="11"/>
        <color rgb="FFFFFFFF"/>
        <rFont val="Linux Libertine G"/>
        <family val="2"/>
        <charset val="1"/>
      </rPr>
      <t xml:space="preserve">A. </t>
    </r>
    <r>
      <rPr>
        <b val="true"/>
        <sz val="11"/>
        <color rgb="FFFFFFFF"/>
        <rFont val="Linux Libertine G"/>
        <family val="2"/>
      </rPr>
      <t xml:space="preserve">我们的预测 </t>
    </r>
    <r>
      <rPr>
        <b val="true"/>
        <sz val="11"/>
        <color rgb="FFFFFFFF"/>
        <rFont val="Linux Libertine G"/>
        <family val="2"/>
        <charset val="1"/>
      </rPr>
      <t xml:space="preserve">vs </t>
    </r>
    <r>
      <rPr>
        <b val="true"/>
        <sz val="11"/>
        <color rgb="FFFFFFFF"/>
        <rFont val="Linux Libertine G"/>
        <family val="2"/>
      </rPr>
      <t xml:space="preserve">实际（每一项是怎么预测的、为什么有差距）</t>
    </r>
  </si>
  <si>
    <t xml:space="preserve">怎么预测的</t>
  </si>
  <si>
    <t xml:space="preserve">预测</t>
  </si>
  <si>
    <t xml:space="preserve">实际</t>
  </si>
  <si>
    <t xml:space="preserve">差距</t>
  </si>
  <si>
    <t xml:space="preserve">原因</t>
  </si>
  <si>
    <t xml:space="preserve">全行业销量（千辆）</t>
  </si>
  <si>
    <r>
      <rPr>
        <sz val="11"/>
        <rFont val="Linux Libertine G"/>
        <family val="2"/>
      </rPr>
      <t xml:space="preserve">练习轮 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实际 </t>
    </r>
    <r>
      <rPr>
        <sz val="11"/>
        <rFont val="Linux Libertine G"/>
        <family val="2"/>
        <charset val="1"/>
      </rPr>
      <t xml:space="preserve">10,078–10,339K</t>
    </r>
    <r>
      <rPr>
        <sz val="11"/>
        <rFont val="Linux Libertine G"/>
        <family val="2"/>
      </rPr>
      <t xml:space="preserve">，系统预测 </t>
    </r>
    <r>
      <rPr>
        <sz val="11"/>
        <rFont val="Linux Libertine G"/>
        <family val="2"/>
        <charset val="1"/>
      </rPr>
      <t xml:space="preserve">10,499K </t>
    </r>
    <r>
      <rPr>
        <sz val="11"/>
        <rFont val="Linux Libertine G"/>
        <family val="2"/>
      </rPr>
      <t xml:space="preserve">打折</t>
    </r>
  </si>
  <si>
    <r>
      <rPr>
        <sz val="11"/>
        <rFont val="Linux Libertine G"/>
        <family val="2"/>
      </rPr>
      <t xml:space="preserve">每家产能只有 </t>
    </r>
    <r>
      <rPr>
        <sz val="11"/>
        <rFont val="Linux Libertine G"/>
        <family val="2"/>
        <charset val="1"/>
      </rPr>
      <t xml:space="preserve">1,000K</t>
    </r>
    <r>
      <rPr>
        <sz val="11"/>
        <rFont val="Linux Libertine G"/>
        <family val="2"/>
      </rPr>
      <t xml:space="preserve">，大家都少产、提价，市场被全行业的产量卡住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</si>
  <si>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份额</t>
    </r>
  </si>
  <si>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$22,385 + </t>
    </r>
    <r>
      <rPr>
        <sz val="11"/>
        <rFont val="Linux Libertine G"/>
        <family val="2"/>
      </rPr>
      <t xml:space="preserve">广告 </t>
    </r>
    <r>
      <rPr>
        <sz val="11"/>
        <rFont val="Linux Libertine G"/>
        <family val="2"/>
        <charset val="1"/>
      </rPr>
      <t xml:space="preserve">100 / 70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</si>
  <si>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假设对手不改价，实际对手也提价了</t>
    </r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</si>
  <si>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份额</t>
    </r>
  </si>
  <si>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$22,500 + </t>
    </r>
    <r>
      <rPr>
        <sz val="11"/>
        <rFont val="Linux Libertine G"/>
        <family val="2"/>
      </rPr>
      <t xml:space="preserve">广告 </t>
    </r>
    <r>
      <rPr>
        <sz val="11"/>
        <rFont val="Linux Libertine G"/>
        <family val="2"/>
        <charset val="1"/>
      </rPr>
      <t xml:space="preserve">50 / 20</t>
    </r>
  </si>
  <si>
    <r>
      <rPr>
        <sz val="11"/>
        <rFont val="Linux Libertine G"/>
        <family val="2"/>
      </rPr>
      <t xml:space="preserve">同上；</t>
    </r>
    <r>
      <rPr>
        <sz val="11"/>
        <rFont val="Linux Libertine G"/>
        <family val="2"/>
        <charset val="1"/>
      </rPr>
      <t xml:space="preserve">Boss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Fast $22,000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Dusty $24,000</t>
    </r>
  </si>
  <si>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份额</t>
    </r>
  </si>
  <si>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$12,640</t>
    </r>
  </si>
  <si>
    <r>
      <rPr>
        <sz val="11"/>
        <rFont val="Linux Libertine G"/>
        <family val="2"/>
      </rPr>
      <t xml:space="preserve">同上；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现在是 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的第一名</t>
    </r>
  </si>
  <si>
    <t xml:space="preserve">销量合计（千辆）</t>
  </si>
  <si>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× 10,100K</t>
    </r>
  </si>
  <si>
    <r>
      <rPr>
        <sz val="11"/>
        <rFont val="Linux Libertine G"/>
        <family val="2"/>
      </rPr>
      <t xml:space="preserve">份额低估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行业规模高估，两边抵消后还多卖了 </t>
    </r>
    <r>
      <rPr>
        <sz val="11"/>
        <rFont val="Linux Libertine G"/>
        <family val="2"/>
        <charset val="1"/>
      </rPr>
      <t xml:space="preserve">57K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</si>
  <si>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销量（千辆）</t>
    </r>
  </si>
  <si>
    <t xml:space="preserve">同上</t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</si>
  <si>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销量（千辆）</t>
    </r>
  </si>
  <si>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销量（千辆）</t>
    </r>
  </si>
  <si>
    <t xml:space="preserve">产量（千辆）</t>
  </si>
  <si>
    <r>
      <rPr>
        <sz val="11"/>
        <rFont val="Linux Libertine G"/>
        <family val="2"/>
      </rPr>
      <t xml:space="preserve">排产 </t>
    </r>
    <r>
      <rPr>
        <sz val="11"/>
        <rFont val="Linux Libertine G"/>
        <family val="2"/>
        <charset val="1"/>
      </rPr>
      <t xml:space="preserve">1,095K + Pro-Forma </t>
    </r>
    <r>
      <rPr>
        <sz val="11"/>
        <rFont val="Linux Libertine G"/>
        <family val="2"/>
      </rPr>
      <t xml:space="preserve">估 </t>
    </r>
    <r>
      <rPr>
        <sz val="11"/>
        <rFont val="Linux Libertine G"/>
        <family val="2"/>
        <charset val="1"/>
      </rPr>
      <t xml:space="preserve">Flex 21K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</si>
  <si>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看到需求多，自动加产（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加满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</si>
  <si>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超产能费（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</si>
  <si>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Manufacturing </t>
    </r>
    <r>
      <rPr>
        <sz val="11"/>
        <rFont val="Linux Libertine G"/>
        <family val="2"/>
      </rPr>
      <t xml:space="preserve">页面读数；按 </t>
    </r>
    <r>
      <rPr>
        <sz val="11"/>
        <rFont val="Linux Libertine G"/>
        <family val="2"/>
        <charset val="1"/>
      </rPr>
      <t xml:space="preserve">1,116K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$260M 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</si>
  <si>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多产 </t>
    </r>
    <r>
      <rPr>
        <sz val="11"/>
        <rFont val="Linux Libertine G"/>
        <family val="2"/>
        <charset val="1"/>
      </rPr>
      <t xml:space="preserve">58K</t>
    </r>
    <r>
      <rPr>
        <sz val="11"/>
        <rFont val="Linux Libertine G"/>
        <family val="2"/>
      </rPr>
      <t xml:space="preserve">，超产到 </t>
    </r>
    <r>
      <rPr>
        <sz val="11"/>
        <rFont val="Linux Libertine G"/>
        <family val="2"/>
        <charset val="1"/>
      </rPr>
      <t xml:space="preserve">117%</t>
    </r>
  </si>
  <si>
    <r>
      <rPr>
        <sz val="11"/>
        <rFont val="Linux Libertine G"/>
        <family val="2"/>
      </rPr>
      <t xml:space="preserve">营收（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</si>
  <si>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t xml:space="preserve">Pro-Forma</t>
  </si>
  <si>
    <r>
      <rPr>
        <sz val="11"/>
        <rFont val="Linux Libertine G"/>
        <family val="2"/>
      </rPr>
      <t xml:space="preserve">多卖 </t>
    </r>
    <r>
      <rPr>
        <sz val="11"/>
        <rFont val="Linux Libertine G"/>
        <family val="2"/>
        <charset val="1"/>
      </rPr>
      <t xml:space="preserve">57K </t>
    </r>
    <r>
      <rPr>
        <sz val="11"/>
        <rFont val="Linux Libertine G"/>
        <family val="2"/>
      </rPr>
      <t xml:space="preserve">辆，价格不变</t>
    </r>
  </si>
  <si>
    <r>
      <rPr>
        <sz val="11"/>
        <rFont val="Linux Libertine G"/>
        <family val="2"/>
        <charset val="1"/>
      </rPr>
      <t xml:space="preserve">COGS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</si>
  <si>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多卖车的变动成本约 </t>
    </r>
    <r>
      <rPr>
        <sz val="11"/>
        <rFont val="Linux Libertine G"/>
        <family val="2"/>
        <charset val="1"/>
      </rPr>
      <t xml:space="preserve">$700M + </t>
    </r>
    <r>
      <rPr>
        <sz val="11"/>
        <rFont val="Linux Libertine G"/>
        <family val="2"/>
      </rPr>
      <t xml:space="preserve">多付的超产能费约 </t>
    </r>
    <r>
      <rPr>
        <sz val="11"/>
        <rFont val="Linux Libertine G"/>
        <family val="2"/>
        <charset val="1"/>
      </rPr>
      <t xml:space="preserve">$160M</t>
    </r>
  </si>
  <si>
    <t xml:space="preserve">毛利率</t>
  </si>
  <si>
    <t xml:space="preserve">超产能费比预计多</t>
  </si>
  <si>
    <r>
      <rPr>
        <sz val="11"/>
        <rFont val="Linux Libertine G"/>
        <family val="2"/>
        <charset val="1"/>
      </rPr>
      <t xml:space="preserve">G&amp;A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</si>
  <si>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销量和经销商相关的费用比预计多</t>
    </r>
  </si>
  <si>
    <r>
      <rPr>
        <sz val="11"/>
        <rFont val="Linux Libertine G"/>
        <family val="2"/>
      </rPr>
      <t xml:space="preserve">净利（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</si>
  <si>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t xml:space="preserve">多卖的车总体赚钱，抵掉了多付的超产能费</t>
  </si>
  <si>
    <r>
      <rPr>
        <sz val="11"/>
        <rFont val="Linux Libertine G"/>
        <family val="2"/>
      </rPr>
      <t xml:space="preserve">期末现金（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</si>
  <si>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t xml:space="preserve">净利多了</t>
  </si>
  <si>
    <t xml:space="preserve">期末库存（千辆）</t>
  </si>
  <si>
    <t xml:space="preserve">基本准</t>
  </si>
  <si>
    <t xml:space="preserve">股价</t>
  </si>
  <si>
    <t xml:space="preserve">没有单独预测</t>
  </si>
  <si>
    <t xml:space="preserve">净利上升、负债下降；增发没有压低股价</t>
  </si>
  <si>
    <r>
      <rPr>
        <sz val="11"/>
        <rFont val="Linux Libertine G"/>
        <family val="2"/>
      </rPr>
      <t xml:space="preserve">练习轮经验：营销约占营收 </t>
    </r>
    <r>
      <rPr>
        <sz val="11"/>
        <rFont val="Linux Libertine G"/>
        <family val="2"/>
        <charset val="1"/>
      </rPr>
      <t xml:space="preserve">2% </t>
    </r>
    <r>
      <rPr>
        <sz val="11"/>
        <rFont val="Linux Libertine G"/>
        <family val="2"/>
      </rPr>
      <t xml:space="preserve">会让偏好度上升</t>
    </r>
  </si>
  <si>
    <t xml:space="preserve">上升</t>
  </si>
  <si>
    <r>
      <rPr>
        <sz val="11"/>
        <rFont val="Linux Libertine G"/>
        <family val="2"/>
        <charset val="1"/>
      </rPr>
      <t xml:space="preserve">−1.9 </t>
    </r>
    <r>
      <rPr>
        <sz val="11"/>
        <rFont val="Linux Libertine G"/>
        <family val="2"/>
      </rPr>
      <t xml:space="preserve">点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</si>
  <si>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今年没有新车或升级车上市；营销只占 </t>
    </r>
    <r>
      <rPr>
        <sz val="11"/>
        <rFont val="Linux Libertine G"/>
        <family val="2"/>
        <charset val="1"/>
      </rPr>
      <t xml:space="preserve">1.7%</t>
    </r>
  </si>
  <si>
    <r>
      <rPr>
        <b val="true"/>
        <sz val="11"/>
        <color rgb="FFFFFFFF"/>
        <rFont val="Linux Libertine G"/>
        <family val="2"/>
        <charset val="1"/>
      </rPr>
      <t xml:space="preserve">B. </t>
    </r>
    <r>
      <rPr>
        <b val="true"/>
        <sz val="11"/>
        <color rgb="FFFFFFFF"/>
        <rFont val="Linux Libertine G"/>
        <family val="2"/>
      </rPr>
      <t xml:space="preserve">每个数据为什么涨、为什么跌（</t>
    </r>
    <r>
      <rPr>
        <b val="true"/>
        <sz val="11"/>
        <color rgb="FFFFFFFF"/>
        <rFont val="Linux Libertine G"/>
        <family val="2"/>
        <charset val="1"/>
      </rPr>
      <t xml:space="preserve">Start → Year 1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</si>
  <si>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Start</t>
  </si>
  <si>
    <t xml:space="preserve">变化</t>
  </si>
  <si>
    <r>
      <rPr>
        <sz val="11"/>
        <rFont val="Linux Libertine G"/>
        <family val="2"/>
      </rPr>
      <t xml:space="preserve">销量 </t>
    </r>
    <r>
      <rPr>
        <sz val="11"/>
        <rFont val="Linux Libertine G"/>
        <family val="2"/>
        <charset val="1"/>
      </rPr>
      <t xml:space="preserve">1,452K → 1,287K</t>
    </r>
    <r>
      <rPr>
        <sz val="11"/>
        <rFont val="Linux Libertine G"/>
        <family val="2"/>
      </rPr>
      <t xml:space="preserve">（产能只有 </t>
    </r>
    <r>
      <rPr>
        <sz val="11"/>
        <rFont val="Linux Libertine G"/>
        <family val="2"/>
        <charset val="1"/>
      </rPr>
      <t xml:space="preserve">1,000K</t>
    </r>
    <r>
      <rPr>
        <sz val="11"/>
        <rFont val="Linux Libertine G"/>
        <family val="2"/>
      </rPr>
      <t xml:space="preserve">，不再超产 </t>
    </r>
    <r>
      <rPr>
        <sz val="11"/>
        <rFont val="Linux Libertine G"/>
        <family val="2"/>
        <charset val="1"/>
      </rPr>
      <t xml:space="preserve">43%</t>
    </r>
    <r>
      <rPr>
        <sz val="11"/>
        <rFont val="Linux Libertine G"/>
        <family val="2"/>
      </rPr>
      <t xml:space="preserve">）；价格都提了约 </t>
    </r>
    <r>
      <rPr>
        <sz val="11"/>
        <rFont val="Linux Libertine G"/>
        <family val="2"/>
        <charset val="1"/>
      </rPr>
      <t xml:space="preserve">10%</t>
    </r>
  </si>
  <si>
    <r>
      <rPr>
        <sz val="11"/>
        <rFont val="Linux Libertine G"/>
        <family val="2"/>
      </rPr>
      <t xml:space="preserve">少产了车；超产能费 </t>
    </r>
    <r>
      <rPr>
        <sz val="11"/>
        <rFont val="Linux Libertine G"/>
        <family val="2"/>
        <charset val="1"/>
      </rPr>
      <t xml:space="preserve">$1,400M → $421M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</si>
  <si>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超产能费大降；七家里最高</t>
    </r>
  </si>
  <si>
    <r>
      <rPr>
        <sz val="11"/>
        <rFont val="Linux Libertine G"/>
        <family val="2"/>
      </rPr>
      <t xml:space="preserve">营销（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</si>
  <si>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广告加倍（</t>
    </r>
    <r>
      <rPr>
        <sz val="11"/>
        <rFont val="Linux Libertine G"/>
        <family val="2"/>
        <charset val="1"/>
      </rPr>
      <t xml:space="preserve">Cafav 100 / 70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50 / 20</t>
    </r>
    <r>
      <rPr>
        <sz val="11"/>
        <rFont val="Linux Libertine G"/>
        <family val="2"/>
      </rPr>
      <t xml:space="preserve">），企业广告 </t>
    </r>
    <r>
      <rPr>
        <sz val="11"/>
        <rFont val="Linux Libertine G"/>
        <family val="2"/>
        <charset val="1"/>
      </rPr>
      <t xml:space="preserve">$50M → $110M</t>
    </r>
  </si>
  <si>
    <r>
      <rPr>
        <sz val="11"/>
        <rFont val="Linux Libertine G"/>
        <family val="2"/>
      </rPr>
      <t xml:space="preserve">研发（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</si>
  <si>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Canyon $506M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major $169M</t>
    </r>
    <r>
      <rPr>
        <sz val="11"/>
        <rFont val="Linux Libertine G"/>
        <family val="2"/>
      </rPr>
      <t xml:space="preserve">、第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个研发中心 </t>
    </r>
    <r>
      <rPr>
        <sz val="11"/>
        <rFont val="Linux Libertine G"/>
        <family val="2"/>
        <charset val="1"/>
      </rPr>
      <t xml:space="preserve">$624M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Safety </t>
    </r>
    <r>
      <rPr>
        <sz val="11"/>
        <rFont val="Linux Libertine G"/>
        <family val="2"/>
      </rPr>
      <t xml:space="preserve">技术 </t>
    </r>
    <r>
      <rPr>
        <sz val="11"/>
        <rFont val="Linux Libertine G"/>
        <family val="2"/>
        <charset val="1"/>
      </rPr>
      <t xml:space="preserve">$327M</t>
    </r>
  </si>
  <si>
    <r>
      <rPr>
        <sz val="11"/>
        <rFont val="Linux Libertine G"/>
        <family val="2"/>
      </rPr>
      <t xml:space="preserve">新开 </t>
    </r>
    <r>
      <rPr>
        <sz val="11"/>
        <rFont val="Linux Libertine G"/>
        <family val="2"/>
        <charset val="1"/>
      </rPr>
      <t xml:space="preserve">48 </t>
    </r>
    <r>
      <rPr>
        <sz val="11"/>
        <rFont val="Linux Libertine G"/>
        <family val="2"/>
      </rPr>
      <t xml:space="preserve">家经销商的开店费和管理费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</si>
  <si>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</rPr>
      <t xml:space="preserve">营业利润（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</si>
  <si>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毛利多了约 </t>
    </r>
    <r>
      <rPr>
        <sz val="11"/>
        <rFont val="Linux Libertine G"/>
        <family val="2"/>
        <charset val="1"/>
      </rPr>
      <t xml:space="preserve">$1,700M</t>
    </r>
    <r>
      <rPr>
        <sz val="11"/>
        <rFont val="Linux Libertine G"/>
        <family val="2"/>
      </rPr>
      <t xml:space="preserve">，但研发多花 </t>
    </r>
    <r>
      <rPr>
        <sz val="11"/>
        <rFont val="Linux Libertine G"/>
        <family val="2"/>
        <charset val="1"/>
      </rPr>
      <t xml:space="preserve">$1,627M</t>
    </r>
  </si>
  <si>
    <r>
      <rPr>
        <sz val="11"/>
        <rFont val="Linux Libertine G"/>
        <family val="2"/>
      </rPr>
      <t xml:space="preserve">利息（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</si>
  <si>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还掉 </t>
    </r>
    <r>
      <rPr>
        <sz val="11"/>
        <rFont val="Linux Libertine G"/>
        <family val="2"/>
        <charset val="1"/>
      </rPr>
      <t xml:space="preserve">$4,000M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7.5% </t>
    </r>
    <r>
      <rPr>
        <sz val="11"/>
        <rFont val="Linux Libertine G"/>
        <family val="2"/>
      </rPr>
      <t xml:space="preserve">短贷</t>
    </r>
  </si>
  <si>
    <r>
      <rPr>
        <sz val="11"/>
        <rFont val="Linux Libertine G"/>
        <family val="2"/>
      </rPr>
      <t xml:space="preserve">毛利 </t>
    </r>
    <r>
      <rPr>
        <sz val="11"/>
        <rFont val="Linux Libertine G"/>
        <family val="2"/>
        <charset val="1"/>
      </rPr>
      <t xml:space="preserve">+</t>
    </r>
    <r>
      <rPr>
        <sz val="11"/>
        <rFont val="Linux Libertine G"/>
        <family val="2"/>
      </rPr>
      <t xml:space="preserve">、利息 −，研发投入 </t>
    </r>
    <r>
      <rPr>
        <sz val="11"/>
        <rFont val="Linux Libertine G"/>
        <family val="2"/>
        <charset val="1"/>
      </rPr>
      <t xml:space="preserve">+</t>
    </r>
  </si>
  <si>
    <r>
      <rPr>
        <sz val="11"/>
        <rFont val="Linux Libertine G"/>
        <family val="2"/>
        <charset val="1"/>
      </rPr>
      <t xml:space="preserve">EPS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</si>
  <si>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股数 </t>
    </r>
    <r>
      <rPr>
        <sz val="11"/>
        <rFont val="Linux Libertine G"/>
        <family val="2"/>
        <charset val="1"/>
      </rPr>
      <t xml:space="preserve">500M → 600M</t>
    </r>
    <r>
      <rPr>
        <sz val="11"/>
        <rFont val="Linux Libertine G"/>
        <family val="2"/>
      </rPr>
      <t xml:space="preserve">（净利 </t>
    </r>
    <r>
      <rPr>
        <sz val="11"/>
        <rFont val="Linux Libertine G"/>
        <family val="2"/>
        <charset val="1"/>
      </rPr>
      <t xml:space="preserve">+9.7%</t>
    </r>
    <r>
      <rPr>
        <sz val="11"/>
        <rFont val="Linux Libertine G"/>
        <family val="2"/>
      </rPr>
      <t xml:space="preserve">，股数 </t>
    </r>
    <r>
      <rPr>
        <sz val="11"/>
        <rFont val="Linux Libertine G"/>
        <family val="2"/>
        <charset val="1"/>
      </rPr>
      <t xml:space="preserve">+20%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</si>
  <si>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净利率（</t>
    </r>
    <r>
      <rPr>
        <sz val="11"/>
        <rFont val="Linux Libertine G"/>
        <family val="2"/>
        <charset val="1"/>
      </rPr>
      <t xml:space="preserve">ROS</t>
    </r>
    <r>
      <rPr>
        <sz val="11"/>
        <rFont val="Linux Libertine G"/>
        <family val="2"/>
      </rPr>
      <t xml:space="preserve">）</t>
    </r>
  </si>
  <si>
    <t xml:space="preserve">净利涨、营收跌</t>
  </si>
  <si>
    <r>
      <rPr>
        <sz val="11"/>
        <rFont val="Linux Libertine G"/>
        <family val="2"/>
      </rPr>
      <t xml:space="preserve">现金（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</si>
  <si>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+3,330</t>
    </r>
    <r>
      <rPr>
        <sz val="11"/>
        <rFont val="Linux Libertine G"/>
        <family val="2"/>
      </rPr>
      <t xml:space="preserve">、增发 </t>
    </r>
    <r>
      <rPr>
        <sz val="11"/>
        <rFont val="Linux Libertine G"/>
        <family val="2"/>
        <charset val="1"/>
      </rPr>
      <t xml:space="preserve">+3,526</t>
    </r>
    <r>
      <rPr>
        <sz val="11"/>
        <rFont val="Linux Libertine G"/>
        <family val="2"/>
      </rPr>
      <t xml:space="preserve">；扩产 −</t>
    </r>
    <r>
      <rPr>
        <sz val="11"/>
        <rFont val="Linux Libertine G"/>
        <family val="2"/>
        <charset val="1"/>
      </rPr>
      <t xml:space="preserve">3,517</t>
    </r>
    <r>
      <rPr>
        <sz val="11"/>
        <rFont val="Linux Libertine G"/>
        <family val="2"/>
      </rPr>
      <t xml:space="preserve">、还短贷 −</t>
    </r>
    <r>
      <rPr>
        <sz val="11"/>
        <rFont val="Linux Libertine G"/>
        <family val="2"/>
        <charset val="1"/>
      </rPr>
      <t xml:space="preserve">4,000</t>
    </r>
    <r>
      <rPr>
        <sz val="11"/>
        <rFont val="Linux Libertine G"/>
        <family val="2"/>
      </rPr>
      <t xml:space="preserve">、分红 −</t>
    </r>
    <r>
      <rPr>
        <sz val="11"/>
        <rFont val="Linux Libertine G"/>
        <family val="2"/>
        <charset val="1"/>
      </rPr>
      <t xml:space="preserve">100</t>
    </r>
  </si>
  <si>
    <r>
      <rPr>
        <sz val="11"/>
        <rFont val="Linux Libertine G"/>
        <family val="2"/>
      </rPr>
      <t xml:space="preserve">库存（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</si>
  <si>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Start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121K </t>
    </r>
    <r>
      <rPr>
        <sz val="11"/>
        <rFont val="Linux Libertine G"/>
        <family val="2"/>
      </rPr>
      <t xml:space="preserve">辆库存全部卖掉，库存天数 </t>
    </r>
    <r>
      <rPr>
        <sz val="11"/>
        <rFont val="Linux Libertine G"/>
        <family val="2"/>
        <charset val="1"/>
      </rPr>
      <t xml:space="preserve">30 → 2</t>
    </r>
  </si>
  <si>
    <r>
      <rPr>
        <sz val="11"/>
        <rFont val="Linux Libertine G"/>
        <family val="2"/>
      </rPr>
      <t xml:space="preserve">厂房设备（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</si>
  <si>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扩产 </t>
    </r>
    <r>
      <rPr>
        <sz val="11"/>
        <rFont val="Linux Libertine G"/>
        <family val="2"/>
        <charset val="1"/>
      </rPr>
      <t xml:space="preserve">+500K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$3,517M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起可用</t>
    </r>
  </si>
  <si>
    <r>
      <rPr>
        <sz val="11"/>
        <rFont val="Linux Libertine G"/>
        <family val="2"/>
      </rPr>
      <t xml:space="preserve">短贷（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</si>
  <si>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还了 </t>
    </r>
    <r>
      <rPr>
        <sz val="11"/>
        <rFont val="Linux Libertine G"/>
        <family val="2"/>
        <charset val="1"/>
      </rPr>
      <t xml:space="preserve">$4,000M</t>
    </r>
  </si>
  <si>
    <r>
      <rPr>
        <sz val="11"/>
        <rFont val="Linux Libertine G"/>
        <family val="2"/>
      </rPr>
      <t xml:space="preserve">股东权益（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</si>
  <si>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$3,526M + </t>
    </r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$1,318M − </t>
    </r>
    <r>
      <rPr>
        <sz val="11"/>
        <rFont val="Linux Libertine G"/>
        <family val="2"/>
      </rPr>
      <t xml:space="preserve">分红 </t>
    </r>
    <r>
      <rPr>
        <sz val="11"/>
        <rFont val="Linux Libertine G"/>
        <family val="2"/>
        <charset val="1"/>
      </rPr>
      <t xml:space="preserve">$100M</t>
    </r>
  </si>
  <si>
    <t xml:space="preserve">ROE</t>
  </si>
  <si>
    <r>
      <rPr>
        <sz val="11"/>
        <rFont val="Linux Libertine G"/>
        <family val="2"/>
      </rPr>
      <t xml:space="preserve">权益变成原来的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倍多（分母变大），不是赚得少了</t>
    </r>
  </si>
  <si>
    <r>
      <rPr>
        <sz val="11"/>
        <rFont val="Linux Libertine G"/>
        <family val="2"/>
      </rPr>
      <t xml:space="preserve">股价（</t>
    </r>
    <r>
      <rPr>
        <sz val="11"/>
        <rFont val="Linux Libertine G"/>
        <family val="2"/>
        <charset val="1"/>
      </rPr>
      <t xml:space="preserve">$</t>
    </r>
    <r>
      <rPr>
        <sz val="11"/>
        <rFont val="Linux Libertine G"/>
        <family val="2"/>
      </rPr>
      <t xml:space="preserve">）</t>
    </r>
  </si>
  <si>
    <t xml:space="preserve">净利上升、负债下降</t>
  </si>
  <si>
    <r>
      <rPr>
        <sz val="11"/>
        <rFont val="Linux Libertine G"/>
        <family val="2"/>
      </rPr>
      <t xml:space="preserve">市值（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</si>
  <si>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股价上涨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</si>
  <si>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对手升级了车（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各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款），我们的 </t>
    </r>
    <r>
      <rPr>
        <sz val="11"/>
        <rFont val="Linux Libertine G"/>
        <family val="2"/>
        <charset val="1"/>
      </rPr>
      <t xml:space="preserve">major </t>
    </r>
    <r>
      <rPr>
        <sz val="11"/>
        <rFont val="Linux Libertine G"/>
        <family val="2"/>
      </rPr>
      <t xml:space="preserve">要 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才上市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</si>
  <si>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10% + </t>
    </r>
    <r>
      <rPr>
        <sz val="11"/>
        <rFont val="Linux Libertine G"/>
        <family val="2"/>
      </rPr>
      <t xml:space="preserve">故意少排产（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新版上市时旧库存要亏本处理）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</si>
  <si>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贡献（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</si>
  <si>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单车售价 </t>
    </r>
    <r>
      <rPr>
        <sz val="11"/>
        <rFont val="Linux Libertine G"/>
        <family val="2"/>
        <charset val="1"/>
      </rPr>
      <t xml:space="preserve">$17,908 → $19,688</t>
    </r>
    <r>
      <rPr>
        <sz val="11"/>
        <rFont val="Linux Libertine G"/>
        <family val="2"/>
      </rPr>
      <t xml:space="preserve">，少卖 </t>
    </r>
    <r>
      <rPr>
        <sz val="11"/>
        <rFont val="Linux Libertine G"/>
        <family val="2"/>
        <charset val="1"/>
      </rPr>
      <t xml:space="preserve">162K </t>
    </r>
    <r>
      <rPr>
        <sz val="11"/>
        <rFont val="Linux Libertine G"/>
        <family val="2"/>
      </rPr>
      <t xml:space="preserve">辆贡献反而多了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</si>
  <si>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9.8% + </t>
    </r>
    <r>
      <rPr>
        <sz val="11"/>
        <rFont val="Linux Libertine G"/>
        <family val="2"/>
      </rPr>
      <t xml:space="preserve">广告加倍，销量几乎不变</t>
    </r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</si>
  <si>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贡献（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</si>
  <si>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单车售价 </t>
    </r>
    <r>
      <rPr>
        <sz val="11"/>
        <rFont val="Linux Libertine G"/>
        <family val="2"/>
        <charset val="1"/>
      </rPr>
      <t xml:space="preserve">$18,038 → $19,811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</si>
  <si>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销量不变，说明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定价太低</t>
    </r>
  </si>
  <si>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贡献（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</si>
  <si>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单车售价 </t>
    </r>
    <r>
      <rPr>
        <sz val="11"/>
        <rFont val="Linux Libertine G"/>
        <family val="2"/>
        <charset val="1"/>
      </rPr>
      <t xml:space="preserve">$10,573 → $11,621</t>
    </r>
    <r>
      <rPr>
        <sz val="11"/>
        <rFont val="Linux Libertine G"/>
        <family val="2"/>
      </rPr>
      <t xml:space="preserve">，贡献翻倍</t>
    </r>
  </si>
  <si>
    <r>
      <rPr>
        <sz val="11"/>
        <rFont val="Linux Libertine G"/>
        <family val="2"/>
      </rPr>
      <t xml:space="preserve">三款车贡献合计（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</si>
  <si>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加广告</t>
    </r>
  </si>
  <si>
    <r>
      <rPr>
        <sz val="11"/>
        <rFont val="Linux Libertine G"/>
        <family val="2"/>
        <charset val="1"/>
      </rPr>
      <t xml:space="preserve">FCF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</si>
  <si>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$3,330M − </t>
    </r>
    <r>
      <rPr>
        <sz val="11"/>
        <rFont val="Linux Libertine G"/>
        <family val="2"/>
      </rPr>
      <t xml:space="preserve">扩产 </t>
    </r>
    <r>
      <rPr>
        <sz val="11"/>
        <rFont val="Linux Libertine G"/>
        <family val="2"/>
        <charset val="1"/>
      </rPr>
      <t xml:space="preserve">$3,517M</t>
    </r>
    <r>
      <rPr>
        <sz val="11"/>
        <rFont val="Linux Libertine G"/>
        <family val="2"/>
      </rPr>
      <t xml:space="preserve">；为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准备产能，是一次性的</t>
    </r>
  </si>
  <si>
    <r>
      <rPr>
        <b val="true"/>
        <sz val="11"/>
        <color rgb="FFFFFFFF"/>
        <rFont val="Linux Libertine G"/>
        <family val="2"/>
        <charset val="1"/>
      </rPr>
      <t xml:space="preserve">C. </t>
    </r>
    <r>
      <rPr>
        <b val="true"/>
        <sz val="11"/>
        <color rgb="FFFFFFFF"/>
        <rFont val="Linux Libertine G"/>
        <family val="2"/>
      </rPr>
      <t xml:space="preserve">七家对比（</t>
    </r>
    <r>
      <rPr>
        <b val="true"/>
        <sz val="11"/>
        <color rgb="FFFFFFFF"/>
        <rFont val="Linux Libertine G"/>
        <family val="2"/>
        <charset val="1"/>
      </rPr>
      <t xml:space="preserve">Year 1</t>
    </r>
    <r>
      <rPr>
        <b val="true"/>
        <sz val="11"/>
        <color rgb="FFFFFFFF"/>
        <rFont val="Linux Libertine G"/>
        <family val="2"/>
      </rPr>
      <t xml:space="preserve">）和为什么是他们第一</t>
    </r>
  </si>
  <si>
    <t xml:space="preserve">公司</t>
  </si>
  <si>
    <r>
      <rPr>
        <b val="true"/>
        <sz val="11"/>
        <color rgb="FFFFFFFF"/>
        <rFont val="Linux Libertine G"/>
        <family val="2"/>
      </rPr>
      <t xml:space="preserve">净利（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</si>
  <si>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营销（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</si>
  <si>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研发（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</si>
  <si>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利息（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</si>
  <si>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市值（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</si>
  <si>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总负债（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</si>
  <si>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偏好度</t>
  </si>
  <si>
    <t xml:space="preserve">库存（千辆）</t>
  </si>
  <si>
    <t xml:space="preserve">今年做了什么</t>
  </si>
  <si>
    <t xml:space="preserve">A</t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</si>
  <si>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Alfa</t>
    </r>
    <r>
      <rPr>
        <sz val="11"/>
        <rFont val="Linux Libertine G"/>
        <family val="2"/>
      </rPr>
      <t xml:space="preserve">；没还债、没增发；扩产 </t>
    </r>
    <r>
      <rPr>
        <sz val="11"/>
        <rFont val="Linux Libertine G"/>
        <family val="2"/>
        <charset val="1"/>
      </rPr>
      <t xml:space="preserve">+100K</t>
    </r>
  </si>
  <si>
    <t xml:space="preserve">B</t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</si>
  <si>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$3.5B + </t>
    </r>
    <r>
      <rPr>
        <sz val="11"/>
        <rFont val="Linux Libertine G"/>
        <family val="2"/>
      </rPr>
      <t xml:space="preserve">发债 </t>
    </r>
    <r>
      <rPr>
        <sz val="11"/>
        <rFont val="Linux Libertine G"/>
        <family val="2"/>
        <charset val="1"/>
      </rPr>
      <t xml:space="preserve">$2B</t>
    </r>
    <r>
      <rPr>
        <sz val="11"/>
        <rFont val="Linux Libertine G"/>
        <family val="2"/>
      </rPr>
      <t xml:space="preserve">，还短贷 </t>
    </r>
    <r>
      <rPr>
        <sz val="11"/>
        <rFont val="Linux Libertine G"/>
        <family val="2"/>
        <charset val="1"/>
      </rPr>
      <t xml:space="preserve">$3B</t>
    </r>
    <r>
      <rPr>
        <sz val="11"/>
        <rFont val="Linux Libertine G"/>
        <family val="2"/>
      </rPr>
      <t xml:space="preserve">；扩产 </t>
    </r>
    <r>
      <rPr>
        <sz val="11"/>
        <rFont val="Linux Libertine G"/>
        <family val="2"/>
        <charset val="1"/>
      </rPr>
      <t xml:space="preserve">+500K</t>
    </r>
  </si>
  <si>
    <r>
      <rPr>
        <sz val="11"/>
        <rFont val="Linux Libertine G"/>
        <family val="2"/>
        <charset val="1"/>
      </rPr>
      <t xml:space="preserve">C</t>
    </r>
    <r>
      <rPr>
        <sz val="11"/>
        <rFont val="Linux Libertine G"/>
        <family val="2"/>
      </rPr>
      <t xml:space="preserve">（我们）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</si>
  <si>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$3.5B</t>
    </r>
    <r>
      <rPr>
        <sz val="11"/>
        <rFont val="Linux Libertine G"/>
        <family val="2"/>
      </rPr>
      <t xml:space="preserve">，还短贷 </t>
    </r>
    <r>
      <rPr>
        <sz val="11"/>
        <rFont val="Linux Libertine G"/>
        <family val="2"/>
        <charset val="1"/>
      </rPr>
      <t xml:space="preserve">$4B</t>
    </r>
    <r>
      <rPr>
        <sz val="11"/>
        <rFont val="Linux Libertine G"/>
        <family val="2"/>
      </rPr>
      <t xml:space="preserve">；扩产 </t>
    </r>
    <r>
      <rPr>
        <sz val="11"/>
        <rFont val="Linux Libertine G"/>
        <family val="2"/>
        <charset val="1"/>
      </rPr>
      <t xml:space="preserve">+500K</t>
    </r>
  </si>
  <si>
    <t xml:space="preserve">D</t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</si>
  <si>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Defy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Dusty</t>
    </r>
    <r>
      <rPr>
        <sz val="11"/>
        <rFont val="Linux Libertine G"/>
        <family val="2"/>
      </rPr>
      <t xml:space="preserve">；发债 </t>
    </r>
    <r>
      <rPr>
        <sz val="11"/>
        <rFont val="Linux Libertine G"/>
        <family val="2"/>
        <charset val="1"/>
      </rPr>
      <t xml:space="preserve">$3B</t>
    </r>
    <r>
      <rPr>
        <sz val="11"/>
        <rFont val="Linux Libertine G"/>
        <family val="2"/>
      </rPr>
      <t xml:space="preserve">、没增发；压了 </t>
    </r>
    <r>
      <rPr>
        <sz val="11"/>
        <rFont val="Linux Libertine G"/>
        <family val="2"/>
        <charset val="1"/>
      </rPr>
      <t xml:space="preserve">81 </t>
    </r>
    <r>
      <rPr>
        <sz val="11"/>
        <rFont val="Linux Libertine G"/>
        <family val="2"/>
      </rPr>
      <t xml:space="preserve">天库存；扩产 </t>
    </r>
    <r>
      <rPr>
        <sz val="11"/>
        <rFont val="Linux Libertine G"/>
        <family val="2"/>
        <charset val="1"/>
      </rPr>
      <t xml:space="preserve">+300K</t>
    </r>
  </si>
  <si>
    <t xml:space="preserve">E</t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</si>
  <si>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$3.5B</t>
    </r>
    <r>
      <rPr>
        <sz val="11"/>
        <rFont val="Linux Libertine G"/>
        <family val="2"/>
      </rPr>
      <t xml:space="preserve">，还短贷 </t>
    </r>
    <r>
      <rPr>
        <sz val="11"/>
        <rFont val="Linux Libertine G"/>
        <family val="2"/>
        <charset val="1"/>
      </rPr>
      <t xml:space="preserve">$5B</t>
    </r>
    <r>
      <rPr>
        <sz val="11"/>
        <rFont val="Linux Libertine G"/>
        <family val="2"/>
      </rPr>
      <t xml:space="preserve">；营销最多；营收和销量第一；扩产 </t>
    </r>
    <r>
      <rPr>
        <sz val="11"/>
        <rFont val="Linux Libertine G"/>
        <family val="2"/>
        <charset val="1"/>
      </rPr>
      <t xml:space="preserve">+300K</t>
    </r>
  </si>
  <si>
    <t xml:space="preserve">F</t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</si>
  <si>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$3.5B + </t>
    </r>
    <r>
      <rPr>
        <sz val="11"/>
        <rFont val="Linux Libertine G"/>
        <family val="2"/>
      </rPr>
      <t xml:space="preserve">发债 </t>
    </r>
    <r>
      <rPr>
        <sz val="11"/>
        <rFont val="Linux Libertine G"/>
        <family val="2"/>
        <charset val="1"/>
      </rPr>
      <t xml:space="preserve">$2B</t>
    </r>
    <r>
      <rPr>
        <sz val="11"/>
        <rFont val="Linux Libertine G"/>
        <family val="2"/>
      </rPr>
      <t xml:space="preserve">，还短贷 </t>
    </r>
    <r>
      <rPr>
        <sz val="11"/>
        <rFont val="Linux Libertine G"/>
        <family val="2"/>
        <charset val="1"/>
      </rPr>
      <t xml:space="preserve">$4B</t>
    </r>
    <r>
      <rPr>
        <sz val="11"/>
        <rFont val="Linux Libertine G"/>
        <family val="2"/>
      </rPr>
      <t xml:space="preserve">；研发最多，多买 </t>
    </r>
    <r>
      <rPr>
        <sz val="11"/>
        <rFont val="Linux Libertine G"/>
        <family val="2"/>
        <charset val="1"/>
      </rPr>
      <t xml:space="preserve">Quality </t>
    </r>
    <r>
      <rPr>
        <sz val="11"/>
        <rFont val="Linux Libertine G"/>
        <family val="2"/>
      </rPr>
      <t xml:space="preserve">技术；扩产 </t>
    </r>
    <r>
      <rPr>
        <sz val="11"/>
        <rFont val="Linux Libertine G"/>
        <family val="2"/>
        <charset val="1"/>
      </rPr>
      <t xml:space="preserve">+400K</t>
    </r>
  </si>
  <si>
    <t xml:space="preserve">G</t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</si>
  <si>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Gas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Gone</t>
    </r>
    <r>
      <rPr>
        <sz val="11"/>
        <rFont val="Linux Libertine G"/>
        <family val="2"/>
      </rPr>
      <t xml:space="preserve">；增发 </t>
    </r>
    <r>
      <rPr>
        <sz val="11"/>
        <rFont val="Linux Libertine G"/>
        <family val="2"/>
        <charset val="1"/>
      </rPr>
      <t xml:space="preserve">$3.5B + </t>
    </r>
    <r>
      <rPr>
        <sz val="11"/>
        <rFont val="Linux Libertine G"/>
        <family val="2"/>
      </rPr>
      <t xml:space="preserve">发债 </t>
    </r>
    <r>
      <rPr>
        <sz val="11"/>
        <rFont val="Linux Libertine G"/>
        <family val="2"/>
        <charset val="1"/>
      </rPr>
      <t xml:space="preserve">$3.1B</t>
    </r>
    <r>
      <rPr>
        <sz val="11"/>
        <rFont val="Linux Libertine G"/>
        <family val="2"/>
      </rPr>
      <t xml:space="preserve">，短贷全部还清；没建研发中心、没买技术、没分红；扩产 </t>
    </r>
    <r>
      <rPr>
        <sz val="11"/>
        <rFont val="Linux Libertine G"/>
        <family val="2"/>
        <charset val="1"/>
      </rPr>
      <t xml:space="preserve">+300K</t>
    </r>
  </si>
  <si>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净利第一</t>
    </r>
  </si>
  <si>
    <r>
      <rPr>
        <sz val="11"/>
        <rFont val="Linux Libertine G"/>
        <family val="2"/>
      </rPr>
      <t xml:space="preserve">几乎没投资：研发只有 </t>
    </r>
    <r>
      <rPr>
        <sz val="11"/>
        <rFont val="Linux Libertine G"/>
        <family val="2"/>
        <charset val="1"/>
      </rPr>
      <t xml:space="preserve">$364M</t>
    </r>
    <r>
      <rPr>
        <sz val="11"/>
        <rFont val="Linux Libertine G"/>
        <family val="2"/>
      </rPr>
      <t xml:space="preserve">（我们 </t>
    </r>
    <r>
      <rPr>
        <sz val="11"/>
        <rFont val="Linux Libertine G"/>
        <family val="2"/>
        <charset val="1"/>
      </rPr>
      <t xml:space="preserve">$1,627M</t>
    </r>
    <r>
      <rPr>
        <sz val="11"/>
        <rFont val="Linux Libertine G"/>
        <family val="2"/>
      </rPr>
      <t xml:space="preserve">，差 </t>
    </r>
    <r>
      <rPr>
        <sz val="11"/>
        <rFont val="Linux Libertine G"/>
        <family val="2"/>
        <charset val="1"/>
      </rPr>
      <t xml:space="preserve">$1,263M</t>
    </r>
    <r>
      <rPr>
        <sz val="11"/>
        <rFont val="Linux Libertine G"/>
        <family val="2"/>
      </rPr>
      <t xml:space="preserve">，税后约 </t>
    </r>
    <r>
      <rPr>
        <sz val="11"/>
        <rFont val="Linux Libertine G"/>
        <family val="2"/>
        <charset val="1"/>
      </rPr>
      <t xml:space="preserve">$821M</t>
    </r>
    <r>
      <rPr>
        <sz val="11"/>
        <rFont val="Linux Libertine G"/>
        <family val="2"/>
      </rPr>
      <t xml:space="preserve">）；营业利润率最高（</t>
    </r>
    <r>
      <rPr>
        <sz val="11"/>
        <rFont val="Linux Libertine G"/>
        <family val="2"/>
        <charset val="1"/>
      </rPr>
      <t xml:space="preserve">14.9%</t>
    </r>
    <r>
      <rPr>
        <sz val="11"/>
        <rFont val="Linux Libertine G"/>
        <family val="2"/>
      </rPr>
      <t xml:space="preserve">）；用增发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发债把短贷全还了，利息最低（</t>
    </r>
    <r>
      <rPr>
        <sz val="11"/>
        <rFont val="Linux Libertine G"/>
        <family val="2"/>
        <charset val="1"/>
      </rPr>
      <t xml:space="preserve">$172M</t>
    </r>
    <r>
      <rPr>
        <sz val="11"/>
        <rFont val="Linux Libertine G"/>
        <family val="2"/>
      </rPr>
      <t xml:space="preserve">）；升级了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款车，偏好度第 </t>
    </r>
    <r>
      <rPr>
        <sz val="11"/>
        <rFont val="Linux Libertine G"/>
        <family val="2"/>
        <charset val="1"/>
      </rPr>
      <t xml:space="preserve">2</t>
    </r>
    <r>
      <rPr>
        <sz val="11"/>
        <rFont val="Linux Libertine G"/>
        <family val="2"/>
      </rPr>
      <t xml:space="preserve">。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我们如果不投资，净利约 </t>
    </r>
    <r>
      <rPr>
        <sz val="11"/>
        <rFont val="Linux Libertine G"/>
        <family val="2"/>
        <charset val="1"/>
      </rPr>
      <t xml:space="preserve">$2,139M</t>
    </r>
    <r>
      <rPr>
        <sz val="11"/>
        <rFont val="Linux Libertine G"/>
        <family val="2"/>
      </rPr>
      <t xml:space="preserve">，会超过 </t>
    </r>
    <r>
      <rPr>
        <sz val="11"/>
        <rFont val="Linux Libertine G"/>
        <family val="2"/>
        <charset val="1"/>
      </rPr>
      <t xml:space="preserve">G</t>
    </r>
  </si>
  <si>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市值第一</t>
    </r>
  </si>
  <si>
    <r>
      <rPr>
        <sz val="11"/>
        <rFont val="Linux Libertine G"/>
        <family val="2"/>
      </rPr>
      <t xml:space="preserve">股数和我们一样（都是 </t>
    </r>
    <r>
      <rPr>
        <sz val="11"/>
        <rFont val="Linux Libertine G"/>
        <family val="2"/>
        <charset val="1"/>
      </rPr>
      <t xml:space="preserve">600M</t>
    </r>
    <r>
      <rPr>
        <sz val="11"/>
        <rFont val="Linux Libertine G"/>
        <family val="2"/>
      </rPr>
      <t xml:space="preserve">），差在股价 </t>
    </r>
    <r>
      <rPr>
        <sz val="11"/>
        <rFont val="Linux Libertine G"/>
        <family val="2"/>
        <charset val="1"/>
      </rPr>
      <t xml:space="preserve">$38.80 vs $38.18</t>
    </r>
    <r>
      <rPr>
        <sz val="11"/>
        <rFont val="Linux Libertine G"/>
        <family val="2"/>
      </rPr>
      <t xml:space="preserve">，主要因为净利高</t>
    </r>
  </si>
  <si>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能不能保持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</si>
  <si>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只有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个研发中心，也没有新车在开发；我们 </t>
    </r>
    <r>
      <rPr>
        <sz val="11"/>
        <rFont val="Linux Libertine G"/>
        <family val="2"/>
        <charset val="1"/>
      </rPr>
      <t xml:space="preserve">Y2 Cafav </t>
    </r>
    <r>
      <rPr>
        <sz val="11"/>
        <rFont val="Linux Libertine G"/>
        <family val="2"/>
      </rPr>
      <t xml:space="preserve">新版上市、</t>
    </r>
    <r>
      <rPr>
        <sz val="11"/>
        <rFont val="Linux Libertine G"/>
        <family val="2"/>
        <charset val="1"/>
      </rPr>
      <t xml:space="preserve">Y3 Canyon </t>
    </r>
    <r>
      <rPr>
        <sz val="11"/>
        <rFont val="Linux Libertine G"/>
        <family val="2"/>
      </rPr>
      <t xml:space="preserve">进入没有竞争的 </t>
    </r>
    <r>
      <rPr>
        <sz val="11"/>
        <rFont val="Linux Libertine G"/>
        <family val="2"/>
        <charset val="1"/>
      </rPr>
      <t xml:space="preserve">5U</t>
    </r>
  </si>
  <si>
    <r>
      <rPr>
        <sz val="11"/>
        <rFont val="Linux Libertine G"/>
        <family val="2"/>
        <charset val="1"/>
      </rPr>
      <t xml:space="preserve">E </t>
    </r>
    <r>
      <rPr>
        <sz val="11"/>
        <rFont val="Linux Libertine G"/>
        <family val="2"/>
      </rPr>
      <t xml:space="preserve">营收和销量第一</t>
    </r>
  </si>
  <si>
    <r>
      <rPr>
        <sz val="11"/>
        <rFont val="Linux Libertine G"/>
        <family val="2"/>
      </rPr>
      <t xml:space="preserve">营销最多（</t>
    </r>
    <r>
      <rPr>
        <sz val="11"/>
        <rFont val="Linux Libertine G"/>
        <family val="2"/>
        <charset val="1"/>
      </rPr>
      <t xml:space="preserve">$460M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Egad </t>
    </r>
    <r>
      <rPr>
        <sz val="11"/>
        <rFont val="Linux Libertine G"/>
        <family val="2"/>
      </rPr>
      <t xml:space="preserve">是 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2M </t>
    </r>
    <r>
      <rPr>
        <sz val="11"/>
        <rFont val="Linux Libertine G"/>
        <family val="2"/>
      </rPr>
      <t xml:space="preserve">的第一名；毛利率只有 </t>
    </r>
    <r>
      <rPr>
        <sz val="11"/>
        <rFont val="Linux Libertine G"/>
        <family val="2"/>
        <charset val="1"/>
      </rPr>
      <t xml:space="preserve">18.2%</t>
    </r>
    <r>
      <rPr>
        <sz val="11"/>
        <rFont val="Linux Libertine G"/>
        <family val="2"/>
      </rPr>
      <t xml:space="preserve">，价格定得低，净利只有 </t>
    </r>
    <r>
      <rPr>
        <sz val="11"/>
        <rFont val="Linux Libertine G"/>
        <family val="2"/>
        <charset val="1"/>
      </rPr>
      <t xml:space="preserve">$1,037M</t>
    </r>
  </si>
  <si>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偏好度第一</t>
    </r>
  </si>
  <si>
    <r>
      <rPr>
        <sz val="11"/>
        <rFont val="Linux Libertine G"/>
        <family val="2"/>
      </rPr>
      <t xml:space="preserve">升级了 </t>
    </r>
    <r>
      <rPr>
        <sz val="11"/>
        <rFont val="Linux Libertine G"/>
        <family val="2"/>
        <charset val="1"/>
      </rPr>
      <t xml:space="preserve">Defy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Dusty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Dusty </t>
    </r>
    <r>
      <rPr>
        <sz val="11"/>
        <rFont val="Linux Libertine G"/>
        <family val="2"/>
      </rPr>
      <t xml:space="preserve">是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第一）；但压了 </t>
    </r>
    <r>
      <rPr>
        <sz val="11"/>
        <rFont val="Linux Libertine G"/>
        <family val="2"/>
        <charset val="1"/>
      </rPr>
      <t xml:space="preserve">286K </t>
    </r>
    <r>
      <rPr>
        <sz val="11"/>
        <rFont val="Linux Libertine G"/>
        <family val="2"/>
      </rPr>
      <t xml:space="preserve">辆库存（</t>
    </r>
    <r>
      <rPr>
        <sz val="11"/>
        <rFont val="Linux Libertine G"/>
        <family val="2"/>
        <charset val="1"/>
      </rPr>
      <t xml:space="preserve">$4.27B</t>
    </r>
    <r>
      <rPr>
        <sz val="11"/>
        <rFont val="Linux Libertine G"/>
        <family val="2"/>
      </rPr>
      <t xml:space="preserve">），现金只剩 </t>
    </r>
    <r>
      <rPr>
        <sz val="11"/>
        <rFont val="Linux Libertine G"/>
        <family val="2"/>
        <charset val="1"/>
      </rPr>
      <t xml:space="preserve">$229M</t>
    </r>
    <r>
      <rPr>
        <sz val="11"/>
        <rFont val="Linux Libertine G"/>
        <family val="2"/>
      </rPr>
      <t xml:space="preserve">，负债 </t>
    </r>
    <r>
      <rPr>
        <sz val="11"/>
        <rFont val="Linux Libertine G"/>
        <family val="2"/>
        <charset val="1"/>
      </rPr>
      <t xml:space="preserve">$8.0B </t>
    </r>
    <r>
      <rPr>
        <sz val="11"/>
        <rFont val="Linux Libertine G"/>
        <family val="2"/>
      </rPr>
      <t xml:space="preserve">七家最高</t>
    </r>
  </si>
  <si>
    <r>
      <rPr>
        <sz val="11"/>
        <rFont val="Linux Libertine G"/>
        <family val="2"/>
        <charset val="1"/>
      </rPr>
      <t xml:space="preserve">A </t>
    </r>
    <r>
      <rPr>
        <sz val="11"/>
        <rFont val="Linux Libertine G"/>
        <family val="2"/>
      </rPr>
      <t xml:space="preserve">最后一名</t>
    </r>
  </si>
  <si>
    <r>
      <rPr>
        <sz val="11"/>
        <rFont val="Linux Libertine G"/>
        <family val="2"/>
      </rPr>
      <t xml:space="preserve">短贷一分没还（利息 </t>
    </r>
    <r>
      <rPr>
        <sz val="11"/>
        <rFont val="Linux Libertine G"/>
        <family val="2"/>
        <charset val="1"/>
      </rPr>
      <t xml:space="preserve">$500M</t>
    </r>
    <r>
      <rPr>
        <sz val="11"/>
        <rFont val="Linux Libertine G"/>
        <family val="2"/>
      </rPr>
      <t xml:space="preserve">）；毛利率只有 </t>
    </r>
    <r>
      <rPr>
        <sz val="11"/>
        <rFont val="Linux Libertine G"/>
        <family val="2"/>
        <charset val="1"/>
      </rPr>
      <t xml:space="preserve">15.9%</t>
    </r>
    <r>
      <rPr>
        <sz val="11"/>
        <rFont val="Linux Libertine G"/>
        <family val="2"/>
      </rPr>
      <t xml:space="preserve">；净利 </t>
    </r>
    <r>
      <rPr>
        <sz val="11"/>
        <rFont val="Linux Libertine G"/>
        <family val="2"/>
        <charset val="1"/>
      </rPr>
      <t xml:space="preserve">$278M</t>
    </r>
    <r>
      <rPr>
        <sz val="11"/>
        <rFont val="Linux Libertine G"/>
        <family val="2"/>
      </rPr>
      <t xml:space="preserve">，股价跌了 </t>
    </r>
    <r>
      <rPr>
        <sz val="11"/>
        <rFont val="Linux Libertine G"/>
        <family val="2"/>
        <charset val="1"/>
      </rPr>
      <t xml:space="preserve">$5</t>
    </r>
  </si>
  <si>
    <r>
      <rPr>
        <b val="true"/>
        <sz val="11"/>
        <color rgb="FFFFFFFF"/>
        <rFont val="Linux Libertine G"/>
        <family val="2"/>
        <charset val="1"/>
      </rPr>
      <t xml:space="preserve">D. </t>
    </r>
    <r>
      <rPr>
        <b val="true"/>
        <sz val="11"/>
        <color rgb="FFFFFFFF"/>
        <rFont val="Linux Libertine G"/>
        <family val="2"/>
      </rPr>
      <t xml:space="preserve">我们的问题和教训</t>
    </r>
  </si>
  <si>
    <t xml:space="preserve">问题</t>
  </si>
  <si>
    <t xml:space="preserve">证据</t>
  </si>
  <si>
    <t xml:space="preserve">下一年怎么改</t>
  </si>
  <si>
    <t xml:space="preserve">价格定低了</t>
  </si>
  <si>
    <r>
      <rPr>
        <sz val="11"/>
        <rFont val="Linux Libertine G"/>
        <family val="2"/>
      </rPr>
      <t xml:space="preserve">三款车份额都比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高 </t>
    </r>
    <r>
      <rPr>
        <sz val="11"/>
        <rFont val="Linux Libertine G"/>
        <family val="2"/>
        <charset val="1"/>
      </rPr>
      <t xml:space="preserve">0.5–0.8 </t>
    </r>
    <r>
      <rPr>
        <sz val="11"/>
        <rFont val="Linux Libertine G"/>
        <family val="2"/>
      </rPr>
      <t xml:space="preserve">点，全部卖光，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加满；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Crash </t>
    </r>
    <r>
      <rPr>
        <sz val="11"/>
        <rFont val="Linux Libertine G"/>
        <family val="2"/>
      </rPr>
      <t xml:space="preserve">再贵 </t>
    </r>
    <r>
      <rPr>
        <sz val="11"/>
        <rFont val="Linux Libertine G"/>
        <family val="2"/>
        <charset val="1"/>
      </rPr>
      <t xml:space="preserve">$1,000 </t>
    </r>
    <r>
      <rPr>
        <sz val="11"/>
        <rFont val="Linux Libertine G"/>
        <family val="2"/>
      </rPr>
      <t xml:space="preserve">也卖得完，少赚约 </t>
    </r>
    <r>
      <rPr>
        <sz val="11"/>
        <rFont val="Linux Libertine G"/>
        <family val="2"/>
        <charset val="1"/>
      </rPr>
      <t xml:space="preserve">$3.9 </t>
    </r>
    <r>
      <rPr>
        <sz val="11"/>
        <rFont val="Linux Libertine G"/>
        <family val="2"/>
      </rPr>
      <t xml:space="preserve">亿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</si>
  <si>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测出来的价格再往上加；只要还缺货就继续提</t>
    </r>
  </si>
  <si>
    <r>
      <rPr>
        <sz val="11"/>
        <rFont val="Linux Libertine G"/>
        <family val="2"/>
        <charset val="1"/>
      </rPr>
      <t xml:space="preserve">Firm Preference </t>
    </r>
    <r>
      <rPr>
        <sz val="11"/>
        <rFont val="Linux Libertine G"/>
        <family val="2"/>
      </rPr>
      <t xml:space="preserve">降到第 </t>
    </r>
    <r>
      <rPr>
        <sz val="11"/>
        <rFont val="Linux Libertine G"/>
        <family val="2"/>
        <charset val="1"/>
      </rPr>
      <t xml:space="preserve">5</t>
    </r>
  </si>
  <si>
    <r>
      <rPr>
        <sz val="11"/>
        <rFont val="Linux Libertine G"/>
        <family val="2"/>
        <charset val="1"/>
      </rPr>
      <t xml:space="preserve">14.3% → 12.4%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升级车型后排前两名，营销费和偏好度没有明显关系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</si>
  <si>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新版上市当年多投营销，营销提到营收的 </t>
    </r>
    <r>
      <rPr>
        <sz val="11"/>
        <rFont val="Linux Libertine G"/>
        <family val="2"/>
        <charset val="1"/>
      </rPr>
      <t xml:space="preserve">2% </t>
    </r>
    <r>
      <rPr>
        <sz val="11"/>
        <rFont val="Linux Libertine G"/>
        <family val="2"/>
      </rPr>
      <t xml:space="preserve">以上</t>
    </r>
  </si>
  <si>
    <r>
      <rPr>
        <sz val="11"/>
        <rFont val="Linux Libertine G"/>
        <family val="2"/>
      </rPr>
      <t xml:space="preserve">超产到 </t>
    </r>
    <r>
      <rPr>
        <sz val="11"/>
        <rFont val="Linux Libertine G"/>
        <family val="2"/>
        <charset val="1"/>
      </rPr>
      <t xml:space="preserve">117%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</si>
  <si>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多产 </t>
    </r>
    <r>
      <rPr>
        <sz val="11"/>
        <rFont val="Linux Libertine G"/>
        <family val="2"/>
        <charset val="1"/>
      </rPr>
      <t xml:space="preserve">79K</t>
    </r>
    <r>
      <rPr>
        <sz val="11"/>
        <rFont val="Linux Libertine G"/>
        <family val="2"/>
      </rPr>
      <t xml:space="preserve">，超产能费 </t>
    </r>
    <r>
      <rPr>
        <sz val="11"/>
        <rFont val="Linux Libertine G"/>
        <family val="2"/>
        <charset val="1"/>
      </rPr>
      <t xml:space="preserve">$421M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多产的部分亏钱</t>
    </r>
  </si>
  <si>
    <r>
      <rPr>
        <sz val="11"/>
        <rFont val="Linux Libertine G"/>
        <family val="2"/>
      </rPr>
      <t xml:space="preserve">关掉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Flex</t>
    </r>
  </si>
  <si>
    <r>
      <rPr>
        <sz val="11"/>
        <rFont val="Linux Libertine G"/>
        <family val="2"/>
      </rPr>
      <t xml:space="preserve">不算问题：净利输给 </t>
    </r>
    <r>
      <rPr>
        <sz val="11"/>
        <rFont val="Linux Libertine G"/>
        <family val="2"/>
        <charset val="1"/>
      </rPr>
      <t xml:space="preserve">G</t>
    </r>
  </si>
  <si>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的研发只有 </t>
    </r>
    <r>
      <rPr>
        <sz val="11"/>
        <rFont val="Linux Libertine G"/>
        <family val="2"/>
        <charset val="1"/>
      </rPr>
      <t xml:space="preserve">$364M</t>
    </r>
    <r>
      <rPr>
        <sz val="11"/>
        <rFont val="Linux Libertine G"/>
        <family val="2"/>
      </rPr>
      <t xml:space="preserve">，我们为 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新版、研发中心、技术投了 </t>
    </r>
    <r>
      <rPr>
        <sz val="11"/>
        <rFont val="Linux Libertine G"/>
        <family val="2"/>
        <charset val="1"/>
      </rPr>
      <t xml:space="preserve">$1,627M</t>
    </r>
  </si>
  <si>
    <r>
      <rPr>
        <sz val="11"/>
        <rFont val="Linux Libertine G"/>
        <family val="2"/>
      </rPr>
      <t xml:space="preserve">投资在 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见效</t>
    </r>
  </si>
  <si>
    <t xml:space="preserve">不算问题：增发优势没了</t>
  </si>
  <si>
    <r>
      <rPr>
        <sz val="11"/>
        <rFont val="Linux Libertine G"/>
        <family val="2"/>
        <charset val="1"/>
      </rPr>
      <t xml:space="preserve">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也都增发到约 </t>
    </r>
    <r>
      <rPr>
        <sz val="11"/>
        <rFont val="Linux Libertine G"/>
        <family val="2"/>
        <charset val="1"/>
      </rPr>
      <t xml:space="preserve">600M </t>
    </r>
    <r>
      <rPr>
        <sz val="11"/>
        <rFont val="Linux Libertine G"/>
        <family val="2"/>
      </rPr>
      <t xml:space="preserve">股</t>
    </r>
  </si>
  <si>
    <t xml:space="preserve">市值拼股价，股价拼净利</t>
  </si>
  <si>
    <r>
      <rPr>
        <b val="true"/>
        <sz val="11"/>
        <color rgb="FFFFFFFF"/>
        <rFont val="Linux Libertine G"/>
        <family val="2"/>
        <charset val="1"/>
      </rPr>
      <t xml:space="preserve">E. </t>
    </r>
    <r>
      <rPr>
        <b val="true"/>
        <sz val="11"/>
        <color rgb="FFFFFFFF"/>
        <rFont val="Linux Libertine G"/>
        <family val="2"/>
      </rPr>
      <t xml:space="preserve">年度财务目标（</t>
    </r>
    <r>
      <rPr>
        <b val="true"/>
        <sz val="11"/>
        <color rgb="FFFFFFFF"/>
        <rFont val="Linux Libertine G"/>
        <family val="2"/>
        <charset val="1"/>
      </rPr>
      <t xml:space="preserve">Cheat Sheet #4</t>
    </r>
    <r>
      <rPr>
        <b val="true"/>
        <sz val="11"/>
        <color rgb="FFFFFFFF"/>
        <rFont val="Linux Libertine G"/>
        <family val="2"/>
      </rPr>
      <t xml:space="preserve">，</t>
    </r>
    <r>
      <rPr>
        <b val="true"/>
        <sz val="11"/>
        <color rgb="FFFFFFFF"/>
        <rFont val="Linux Libertine G"/>
        <family val="2"/>
        <charset val="1"/>
      </rPr>
      <t xml:space="preserve">BoD presentation </t>
    </r>
    <r>
      <rPr>
        <b val="true"/>
        <sz val="11"/>
        <color rgb="FFFFFFFF"/>
        <rFont val="Linux Libertine G"/>
        <family val="2"/>
      </rPr>
      <t xml:space="preserve">要汇报）</t>
    </r>
  </si>
  <si>
    <t xml:space="preserve">目标</t>
  </si>
  <si>
    <t xml:space="preserve">结果</t>
  </si>
  <si>
    <t xml:space="preserve">达标</t>
  </si>
  <si>
    <t xml:space="preserve">解释</t>
  </si>
  <si>
    <t xml:space="preserve">营收增长</t>
  </si>
  <si>
    <r>
      <rPr>
        <sz val="11"/>
        <rFont val="Linux Libertine G"/>
        <family val="2"/>
        <charset val="1"/>
      </rPr>
      <t xml:space="preserve">$23,828M → $22,925M</t>
    </r>
    <r>
      <rPr>
        <sz val="11"/>
        <rFont val="Linux Libertine G"/>
        <family val="2"/>
      </rPr>
      <t xml:space="preserve">（−</t>
    </r>
    <r>
      <rPr>
        <sz val="11"/>
        <rFont val="Linux Libertine G"/>
        <family val="2"/>
        <charset val="1"/>
      </rPr>
      <t xml:space="preserve">3.8%</t>
    </r>
    <r>
      <rPr>
        <sz val="11"/>
        <rFont val="Linux Libertine G"/>
        <family val="2"/>
      </rPr>
      <t xml:space="preserve">）</t>
    </r>
  </si>
  <si>
    <t xml:space="preserve">❌</t>
  </si>
  <si>
    <r>
      <rPr>
        <sz val="11"/>
        <rFont val="Linux Libertine G"/>
        <family val="2"/>
      </rPr>
      <t xml:space="preserve">行业 −</t>
    </r>
    <r>
      <rPr>
        <sz val="11"/>
        <rFont val="Linux Libertine G"/>
        <family val="2"/>
        <charset val="1"/>
      </rPr>
      <t xml:space="preserve">13%</t>
    </r>
    <r>
      <rPr>
        <sz val="11"/>
        <rFont val="Linux Libertine G"/>
        <family val="2"/>
      </rPr>
      <t xml:space="preserve">，我们只 −</t>
    </r>
    <r>
      <rPr>
        <sz val="11"/>
        <rFont val="Linux Libertine G"/>
        <family val="2"/>
        <charset val="1"/>
      </rPr>
      <t xml:space="preserve">3.8%</t>
    </r>
    <r>
      <rPr>
        <sz val="11"/>
        <rFont val="Linux Libertine G"/>
        <family val="2"/>
      </rPr>
      <t xml:space="preserve">；主动少产车、提价换利润</t>
    </r>
  </si>
  <si>
    <r>
      <rPr>
        <sz val="11"/>
        <rFont val="Linux Libertine G"/>
        <family val="2"/>
      </rPr>
      <t xml:space="preserve">毛利率 ≥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，保持或提高</t>
    </r>
  </si>
  <si>
    <t xml:space="preserve">14.7% → 22.9%</t>
  </si>
  <si>
    <t xml:space="preserve">✅</t>
  </si>
  <si>
    <t xml:space="preserve">七家最高</t>
  </si>
  <si>
    <r>
      <rPr>
        <sz val="11"/>
        <rFont val="Linux Libertine G"/>
        <family val="2"/>
      </rPr>
      <t xml:space="preserve">净利率 ≥ </t>
    </r>
    <r>
      <rPr>
        <sz val="11"/>
        <rFont val="Linux Libertine G"/>
        <family val="2"/>
        <charset val="1"/>
      </rPr>
      <t xml:space="preserve">4.5%</t>
    </r>
    <r>
      <rPr>
        <sz val="11"/>
        <rFont val="Linux Libertine G"/>
        <family val="2"/>
      </rPr>
      <t xml:space="preserve">，保持或提高</t>
    </r>
  </si>
  <si>
    <t xml:space="preserve">5.0% → 5.7%</t>
  </si>
  <si>
    <r>
      <rPr>
        <sz val="11"/>
        <rFont val="Linux Libertine G"/>
        <family val="2"/>
        <charset val="1"/>
      </rPr>
      <t xml:space="preserve">FCF </t>
    </r>
    <r>
      <rPr>
        <sz val="11"/>
        <rFont val="Linux Libertine G"/>
        <family val="2"/>
      </rPr>
      <t xml:space="preserve">为正</t>
    </r>
  </si>
  <si>
    <t xml:space="preserve">−$187M</t>
  </si>
  <si>
    <r>
      <rPr>
        <sz val="11"/>
        <rFont val="Linux Libertine G"/>
        <family val="2"/>
      </rPr>
      <t xml:space="preserve">扩产 </t>
    </r>
    <r>
      <rPr>
        <sz val="11"/>
        <rFont val="Linux Libertine G"/>
        <family val="2"/>
        <charset val="1"/>
      </rPr>
      <t xml:space="preserve">$3.5B </t>
    </r>
    <r>
      <rPr>
        <sz val="11"/>
        <rFont val="Linux Libertine G"/>
        <family val="2"/>
      </rPr>
      <t xml:space="preserve">为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准备产能</t>
    </r>
  </si>
  <si>
    <r>
      <rPr>
        <sz val="11"/>
        <rFont val="Linux Libertine G"/>
        <family val="2"/>
        <charset val="1"/>
      </rPr>
      <t xml:space="preserve">ROE ≥ 10%</t>
    </r>
    <r>
      <rPr>
        <sz val="11"/>
        <rFont val="Linux Libertine G"/>
        <family val="2"/>
      </rPr>
      <t xml:space="preserve">，保持或提高</t>
    </r>
  </si>
  <si>
    <t xml:space="preserve">55% → 19%</t>
  </si>
  <si>
    <t xml:space="preserve">⚠️</t>
  </si>
  <si>
    <r>
      <rPr>
        <sz val="11"/>
        <rFont val="Linux Libertine G"/>
        <family val="2"/>
      </rPr>
      <t xml:space="preserve">超过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，但因为增发、权益变大而下降</t>
    </r>
  </si>
  <si>
    <t xml:space="preserve">市值增长</t>
  </si>
  <si>
    <r>
      <rPr>
        <sz val="11"/>
        <rFont val="Linux Libertine G"/>
        <family val="2"/>
        <charset val="1"/>
      </rPr>
      <t xml:space="preserve">$17.6B → $22.9B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+30%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</si>
  <si>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股价 </t>
    </r>
    <r>
      <rPr>
        <sz val="11"/>
        <rFont val="Linux Libertine G"/>
        <family val="2"/>
        <charset val="1"/>
      </rPr>
      <t xml:space="preserve">+8.3%</t>
    </r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</si>
  <si>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Year 2 </t>
    </r>
    <r>
      <rPr>
        <b val="true"/>
        <sz val="14"/>
        <rFont val="Linux Libertine G"/>
        <family val="2"/>
      </rPr>
      <t xml:space="preserve">结果复盘（</t>
    </r>
    <r>
      <rPr>
        <b val="true"/>
        <sz val="14"/>
        <rFont val="Linux Libertine G"/>
        <family val="2"/>
        <charset val="1"/>
      </rPr>
      <t xml:space="preserve">10/17 </t>
    </r>
    <r>
      <rPr>
        <b val="true"/>
        <sz val="14"/>
        <rFont val="Linux Libertine G"/>
        <family val="2"/>
      </rPr>
      <t xml:space="preserve">出结果）</t>
    </r>
  </si>
  <si>
    <r>
      <rPr>
        <i val="true"/>
        <sz val="11"/>
        <color rgb="FF595959"/>
        <rFont val="Linux Libertine G"/>
        <family val="2"/>
      </rPr>
      <t xml:space="preserve">净利、市值、股价、份额全部第 </t>
    </r>
    <r>
      <rPr>
        <i val="true"/>
        <sz val="11"/>
        <color rgb="FF595959"/>
        <rFont val="Linux Libertine G"/>
        <family val="2"/>
        <charset val="1"/>
      </rPr>
      <t xml:space="preserve">1</t>
    </r>
    <r>
      <rPr>
        <i val="true"/>
        <sz val="11"/>
        <color rgb="FF595959"/>
        <rFont val="Linux Libertine G"/>
        <family val="2"/>
      </rPr>
      <t xml:space="preserve">。下面是：我们怎么预测的、实际多少、为什么有差距；每个数据为什么涨跌；同行业为什么现在是我们第一；问题和教训。和 </t>
    </r>
    <r>
      <rPr>
        <i val="true"/>
        <sz val="11"/>
        <color rgb="FF595959"/>
        <rFont val="Linux Libertine G"/>
        <family val="2"/>
        <charset val="1"/>
      </rPr>
      <t xml:space="preserve">md 0c </t>
    </r>
    <r>
      <rPr>
        <i val="true"/>
        <sz val="11"/>
        <color rgb="FF595959"/>
        <rFont val="Linux Libertine G"/>
        <family val="2"/>
      </rPr>
      <t xml:space="preserve">节“正式 </t>
    </r>
    <r>
      <rPr>
        <i val="true"/>
        <sz val="11"/>
        <color rgb="FF595959"/>
        <rFont val="Linux Libertine G"/>
        <family val="2"/>
        <charset val="1"/>
      </rPr>
      <t xml:space="preserve">Year 2 </t>
    </r>
    <r>
      <rPr>
        <i val="true"/>
        <sz val="11"/>
        <color rgb="FF595959"/>
        <rFont val="Linux Libertine G"/>
        <family val="2"/>
      </rPr>
      <t xml:space="preserve">结果复盘”同步。</t>
    </r>
    <r>
      <rPr>
        <i val="true"/>
        <sz val="11"/>
        <color rgb="FF595959"/>
        <rFont val="Linux Libertine G"/>
        <family val="2"/>
        <charset val="1"/>
      </rPr>
      <t xml:space="preserve">[</t>
    </r>
    <r>
      <rPr>
        <i val="true"/>
        <sz val="11"/>
        <color rgb="FF595959"/>
        <rFont val="Linux Libertine G"/>
        <family val="2"/>
      </rPr>
      <t xml:space="preserve">推断</t>
    </r>
    <r>
      <rPr>
        <i val="true"/>
        <sz val="11"/>
        <color rgb="FF595959"/>
        <rFont val="Linux Libertine G"/>
        <family val="2"/>
        <charset val="1"/>
      </rPr>
      <t xml:space="preserve">] </t>
    </r>
    <r>
      <rPr>
        <i val="true"/>
        <sz val="11"/>
        <color rgb="FF595959"/>
        <rFont val="Linux Libertine G"/>
        <family val="2"/>
      </rPr>
      <t xml:space="preserve">是推出来的，系统没有直接给。</t>
    </r>
  </si>
  <si>
    <r>
      <rPr>
        <b val="true"/>
        <sz val="11"/>
        <color rgb="FFFFFFFF"/>
        <rFont val="Linux Libertine G"/>
        <family val="2"/>
        <charset val="1"/>
      </rPr>
      <t xml:space="preserve">A. </t>
    </r>
    <r>
      <rPr>
        <b val="true"/>
        <sz val="11"/>
        <color rgb="FFFFFFFF"/>
        <rFont val="Linux Libertine G"/>
        <family val="2"/>
      </rPr>
      <t xml:space="preserve">我们的预测 </t>
    </r>
    <r>
      <rPr>
        <b val="true"/>
        <sz val="11"/>
        <color rgb="FFFFFFFF"/>
        <rFont val="Linux Libertine G"/>
        <family val="2"/>
        <charset val="1"/>
      </rPr>
      <t xml:space="preserve">vs </t>
    </r>
    <r>
      <rPr>
        <b val="true"/>
        <sz val="11"/>
        <color rgb="FFFFFFFF"/>
        <rFont val="Linux Libertine G"/>
        <family val="2"/>
      </rPr>
      <t xml:space="preserve">实际</t>
    </r>
  </si>
  <si>
    <r>
      <rPr>
        <sz val="11"/>
        <rFont val="Linux Libertine G"/>
        <family val="2"/>
      </rPr>
      <t xml:space="preserve">全行业产能约 </t>
    </r>
    <r>
      <rPr>
        <sz val="11"/>
        <rFont val="Linux Libertine G"/>
        <family val="2"/>
        <charset val="1"/>
      </rPr>
      <t xml:space="preserve">9,400K ×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1.1 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</si>
  <si>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压了约 </t>
    </r>
    <r>
      <rPr>
        <sz val="11"/>
        <rFont val="Linux Libertine G"/>
        <family val="2"/>
        <charset val="1"/>
      </rPr>
      <t xml:space="preserve">81 </t>
    </r>
    <r>
      <rPr>
        <sz val="11"/>
        <rFont val="Linux Libertine G"/>
        <family val="2"/>
      </rPr>
      <t xml:space="preserve">万辆库存；实际是系统预测 </t>
    </r>
    <r>
      <rPr>
        <sz val="11"/>
        <rFont val="Linux Libertine G"/>
        <family val="2"/>
        <charset val="1"/>
      </rPr>
      <t xml:space="preserve">12,388K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77%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</si>
  <si>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旧版 </t>
    </r>
    <r>
      <rPr>
        <sz val="11"/>
        <rFont val="Linux Libertine G"/>
        <family val="2"/>
        <charset val="1"/>
      </rPr>
      <t xml:space="preserve">5.6% + </t>
    </r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1.2 </t>
    </r>
    <r>
      <rPr>
        <sz val="11"/>
        <rFont val="Linux Libertine G"/>
        <family val="2"/>
      </rPr>
      <t xml:space="preserve">点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</si>
  <si>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</rPr>
      <t xml:space="preserve">新版升级效果被低估（实际比旧版高 </t>
    </r>
    <r>
      <rPr>
        <sz val="11"/>
        <rFont val="Linux Libertine G"/>
        <family val="2"/>
        <charset val="1"/>
      </rPr>
      <t xml:space="preserve">2.7 </t>
    </r>
    <r>
      <rPr>
        <sz val="11"/>
        <rFont val="Linux Libertine G"/>
        <family val="2"/>
      </rPr>
      <t xml:space="preserve">点）；还被产量卡住，缺货 </t>
    </r>
    <r>
      <rPr>
        <sz val="11"/>
        <rFont val="Linux Libertine G"/>
        <family val="2"/>
        <charset val="1"/>
      </rPr>
      <t xml:space="preserve">&gt;30%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</si>
  <si>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旧版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0.5 </t>
    </r>
    <r>
      <rPr>
        <sz val="11"/>
        <rFont val="Linux Libertine G"/>
        <family val="2"/>
      </rPr>
      <t xml:space="preserve">点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</si>
  <si>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  <charset val="1"/>
      </rPr>
      <t xml:space="preserve">minor </t>
    </r>
    <r>
      <rPr>
        <sz val="11"/>
        <rFont val="Linux Libertine G"/>
        <family val="2"/>
      </rPr>
      <t xml:space="preserve">后尺寸、</t>
    </r>
    <r>
      <rPr>
        <sz val="11"/>
        <rFont val="Linux Libertine G"/>
        <family val="2"/>
        <charset val="1"/>
      </rPr>
      <t xml:space="preserve">HP </t>
    </r>
    <r>
      <rPr>
        <sz val="11"/>
        <rFont val="Linux Libertine G"/>
        <family val="2"/>
      </rPr>
      <t xml:space="preserve">对上；和 </t>
    </r>
    <r>
      <rPr>
        <sz val="11"/>
        <rFont val="Linux Libertine G"/>
        <family val="2"/>
        <charset val="1"/>
      </rPr>
      <t xml:space="preserve">Dusty </t>
    </r>
    <r>
      <rPr>
        <sz val="11"/>
        <rFont val="Linux Libertine G"/>
        <family val="2"/>
      </rPr>
      <t xml:space="preserve">同价、配置更好</t>
    </r>
  </si>
  <si>
    <t xml:space="preserve">Test Market</t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</si>
  <si>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Cafav </t>
    </r>
    <r>
      <rPr>
        <sz val="11"/>
        <rFont val="Linux Libertine G"/>
        <family val="2"/>
      </rPr>
      <t xml:space="preserve">离开 </t>
    </r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，客户转到 </t>
    </r>
    <r>
      <rPr>
        <sz val="11"/>
        <rFont val="Linux Libertine G"/>
        <family val="2"/>
        <charset val="1"/>
      </rPr>
      <t xml:space="preserve">Cameo</t>
    </r>
  </si>
  <si>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× 10,500K</t>
    </r>
  </si>
  <si>
    <t xml:space="preserve">份额低估抵消了行业规模高估还有余</t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</si>
  <si>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加满（</t>
    </r>
    <r>
      <rPr>
        <sz val="11"/>
        <rFont val="Linux Libertine G"/>
        <family val="2"/>
        <charset val="1"/>
      </rPr>
      <t xml:space="preserve">720 × 1.1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</si>
  <si>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加满（</t>
    </r>
    <r>
      <rPr>
        <sz val="11"/>
        <rFont val="Linux Libertine G"/>
        <family val="2"/>
        <charset val="1"/>
      </rPr>
      <t xml:space="preserve">480 × 1.1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</si>
  <si>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加了 </t>
    </r>
    <r>
      <rPr>
        <sz val="11"/>
        <rFont val="Linux Libertine G"/>
        <family val="2"/>
        <charset val="1"/>
      </rPr>
      <t xml:space="preserve">22K</t>
    </r>
    <r>
      <rPr>
        <sz val="11"/>
        <rFont val="Linux Libertine G"/>
        <family val="2"/>
      </rPr>
      <t xml:space="preserve">（提交前改回开启是对的）</t>
    </r>
  </si>
  <si>
    <r>
      <rPr>
        <sz val="11"/>
        <rFont val="Linux Libertine G"/>
        <family val="2"/>
        <charset val="1"/>
      </rPr>
      <t xml:space="preserve">Manufacturing </t>
    </r>
    <r>
      <rPr>
        <sz val="11"/>
        <rFont val="Linux Libertine G"/>
        <family val="2"/>
      </rPr>
      <t xml:space="preserve">页面按排产 </t>
    </r>
    <r>
      <rPr>
        <sz val="11"/>
        <rFont val="Linux Libertine G"/>
        <family val="2"/>
        <charset val="1"/>
      </rPr>
      <t xml:space="preserve">1,540K </t>
    </r>
    <r>
      <rPr>
        <sz val="11"/>
        <rFont val="Linux Libertine G"/>
        <family val="2"/>
      </rPr>
      <t xml:space="preserve">读数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</si>
  <si>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加满后产量 </t>
    </r>
    <r>
      <rPr>
        <sz val="11"/>
        <rFont val="Linux Libertine G"/>
        <family val="2"/>
        <charset val="1"/>
      </rPr>
      <t xml:space="preserve">1,682K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112%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</si>
  <si>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多卖 </t>
    </r>
    <r>
      <rPr>
        <sz val="11"/>
        <rFont val="Linux Libertine G"/>
        <family val="2"/>
        <charset val="1"/>
      </rPr>
      <t xml:space="preserve">123K </t>
    </r>
    <r>
      <rPr>
        <sz val="11"/>
        <rFont val="Linux Libertine G"/>
        <family val="2"/>
      </rPr>
      <t xml:space="preserve">辆</t>
    </r>
  </si>
  <si>
    <r>
      <rPr>
        <sz val="11"/>
        <rFont val="Linux Libertine G"/>
        <family val="2"/>
      </rPr>
      <t xml:space="preserve">多卖车的变动成本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多付的超产能费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</si>
  <si>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销量相关费用</t>
    </r>
  </si>
  <si>
    <t xml:space="preserve">多卖的车毛利远高于超产成本</t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</si>
  <si>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升级车型上市会拉高偏好度</t>
    </r>
  </si>
  <si>
    <r>
      <rPr>
        <sz val="11"/>
        <rFont val="Linux Libertine G"/>
        <family val="2"/>
        <charset val="1"/>
      </rPr>
      <t xml:space="preserve">+7.0 </t>
    </r>
    <r>
      <rPr>
        <sz val="11"/>
        <rFont val="Linux Libertine G"/>
        <family val="2"/>
      </rPr>
      <t xml:space="preserve">点</t>
    </r>
  </si>
  <si>
    <r>
      <rPr>
        <sz val="11"/>
        <rFont val="Linux Libertine G"/>
        <family val="2"/>
      </rPr>
      <t xml:space="preserve">✅ 验证：两款升级上市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营销七家最多</t>
    </r>
  </si>
  <si>
    <t xml:space="preserve">+44%</t>
  </si>
  <si>
    <r>
      <rPr>
        <sz val="11"/>
        <rFont val="Linux Libertine G"/>
        <family val="2"/>
      </rPr>
      <t xml:space="preserve">净利翻倍多、负债为 </t>
    </r>
    <r>
      <rPr>
        <sz val="11"/>
        <rFont val="Linux Libertine G"/>
        <family val="2"/>
        <charset val="1"/>
      </rPr>
      <t xml:space="preserve">0</t>
    </r>
    <r>
      <rPr>
        <sz val="11"/>
        <rFont val="Linux Libertine G"/>
        <family val="2"/>
      </rPr>
      <t xml:space="preserve">、份额第一</t>
    </r>
  </si>
  <si>
    <t xml:space="preserve">三情景</t>
  </si>
  <si>
    <t xml:space="preserve">startup-financial-modeling</t>
  </si>
  <si>
    <r>
      <rPr>
        <sz val="11"/>
        <rFont val="Linux Libertine G"/>
        <family val="2"/>
      </rPr>
      <t xml:space="preserve">乐观 </t>
    </r>
    <r>
      <rPr>
        <sz val="11"/>
        <rFont val="Linux Libertine G"/>
        <family val="2"/>
        <charset val="1"/>
      </rPr>
      <t xml:space="preserve">110% </t>
    </r>
    <r>
      <rPr>
        <sz val="11"/>
        <rFont val="Linux Libertine G"/>
        <family val="2"/>
      </rPr>
      <t xml:space="preserve">净利约 </t>
    </r>
    <r>
      <rPr>
        <sz val="11"/>
        <rFont val="Linux Libertine G"/>
        <family val="2"/>
        <charset val="1"/>
      </rPr>
      <t xml:space="preserve">$2,927M</t>
    </r>
  </si>
  <si>
    <r>
      <rPr>
        <sz val="11"/>
        <rFont val="Linux Libertine G"/>
        <family val="2"/>
      </rPr>
      <t xml:space="preserve">卖到基准的 </t>
    </r>
    <r>
      <rPr>
        <sz val="11"/>
        <rFont val="Linux Libertine G"/>
        <family val="2"/>
        <charset val="1"/>
      </rPr>
      <t xml:space="preserve">108%</t>
    </r>
  </si>
  <si>
    <t xml:space="preserve">落在乐观情景，净利和乐观情景几乎一样</t>
  </si>
  <si>
    <r>
      <rPr>
        <b val="true"/>
        <sz val="11"/>
        <color rgb="FFFFFFFF"/>
        <rFont val="Linux Libertine G"/>
        <family val="2"/>
        <charset val="1"/>
      </rPr>
      <t xml:space="preserve">B. </t>
    </r>
    <r>
      <rPr>
        <b val="true"/>
        <sz val="11"/>
        <color rgb="FFFFFFFF"/>
        <rFont val="Linux Libertine G"/>
        <family val="2"/>
      </rPr>
      <t xml:space="preserve">每个数据为什么涨、为什么跌（</t>
    </r>
    <r>
      <rPr>
        <b val="true"/>
        <sz val="11"/>
        <color rgb="FFFFFFFF"/>
        <rFont val="Linux Libertine G"/>
        <family val="2"/>
        <charset val="1"/>
      </rPr>
      <t xml:space="preserve">Year 1 → Year 2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</si>
  <si>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产能 </t>
    </r>
    <r>
      <rPr>
        <sz val="11"/>
        <rFont val="Linux Libertine G"/>
        <family val="2"/>
        <charset val="1"/>
      </rPr>
      <t xml:space="preserve">1,000K → 1,500K</t>
    </r>
    <r>
      <rPr>
        <sz val="11"/>
        <rFont val="Linux Libertine G"/>
        <family val="2"/>
      </rPr>
      <t xml:space="preserve">，销量 </t>
    </r>
    <r>
      <rPr>
        <sz val="11"/>
        <rFont val="Linux Libertine G"/>
        <family val="2"/>
        <charset val="1"/>
      </rPr>
      <t xml:space="preserve">+31%</t>
    </r>
    <r>
      <rPr>
        <sz val="11"/>
        <rFont val="Linux Libertine G"/>
        <family val="2"/>
      </rPr>
      <t xml:space="preserve">；三款车都提价 </t>
    </r>
    <r>
      <rPr>
        <sz val="11"/>
        <rFont val="Linux Libertine G"/>
        <family val="2"/>
        <charset val="1"/>
      </rPr>
      <t xml:space="preserve">7–10%</t>
    </r>
  </si>
  <si>
    <r>
      <rPr>
        <sz val="11"/>
        <rFont val="Linux Libertine G"/>
        <family val="2"/>
      </rPr>
      <t xml:space="preserve">销量增加；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新版单车成本 </t>
    </r>
    <r>
      <rPr>
        <sz val="11"/>
        <rFont val="Linux Libertine G"/>
        <family val="2"/>
        <charset val="1"/>
      </rPr>
      <t xml:space="preserve">$13,560 → $14,885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</si>
  <si>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高毛利车型占比更高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</si>
  <si>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新版上市广告加倍；企业广告 </t>
    </r>
    <r>
      <rPr>
        <sz val="11"/>
        <rFont val="Linux Libertine G"/>
        <family val="2"/>
        <charset val="1"/>
      </rPr>
      <t xml:space="preserve">$110M → $150M</t>
    </r>
  </si>
  <si>
    <r>
      <rPr>
        <sz val="11"/>
        <rFont val="Linux Libertine G"/>
        <family val="2"/>
        <charset val="1"/>
      </rPr>
      <t xml:space="preserve">Canyon $506M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$222M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minor $205M</t>
    </r>
    <r>
      <rPr>
        <sz val="11"/>
        <rFont val="Linux Libertine G"/>
        <family val="2"/>
      </rPr>
      <t xml:space="preserve">、第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个中心 </t>
    </r>
    <r>
      <rPr>
        <sz val="11"/>
        <rFont val="Linux Libertine G"/>
        <family val="2"/>
        <charset val="1"/>
      </rPr>
      <t xml:space="preserve">$630M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Styling $305M</t>
    </r>
  </si>
  <si>
    <r>
      <rPr>
        <sz val="11"/>
        <rFont val="Linux Libertine G"/>
        <family val="2"/>
        <charset val="1"/>
      </rPr>
      <t xml:space="preserve">South </t>
    </r>
    <r>
      <rPr>
        <sz val="11"/>
        <rFont val="Linux Libertine G"/>
        <family val="2"/>
      </rPr>
      <t xml:space="preserve">新开 </t>
    </r>
    <r>
      <rPr>
        <sz val="11"/>
        <rFont val="Linux Libertine G"/>
        <family val="2"/>
        <charset val="1"/>
      </rPr>
      <t xml:space="preserve">48 </t>
    </r>
    <r>
      <rPr>
        <sz val="11"/>
        <rFont val="Linux Libertine G"/>
        <family val="2"/>
      </rPr>
      <t xml:space="preserve">家经销商的管理费；培训费 </t>
    </r>
    <r>
      <rPr>
        <sz val="11"/>
        <rFont val="Linux Libertine G"/>
        <family val="2"/>
        <charset val="1"/>
      </rPr>
      <t xml:space="preserve">$11M → $20M</t>
    </r>
  </si>
  <si>
    <r>
      <rPr>
        <sz val="11"/>
        <rFont val="Linux Libertine G"/>
        <family val="2"/>
      </rPr>
      <t xml:space="preserve">毛利多了约 </t>
    </r>
    <r>
      <rPr>
        <sz val="11"/>
        <rFont val="Linux Libertine G"/>
        <family val="2"/>
        <charset val="1"/>
      </rPr>
      <t xml:space="preserve">$3,000M</t>
    </r>
    <r>
      <rPr>
        <sz val="11"/>
        <rFont val="Linux Libertine G"/>
        <family val="2"/>
      </rPr>
      <t xml:space="preserve">，费用只多了约 </t>
    </r>
    <r>
      <rPr>
        <sz val="11"/>
        <rFont val="Linux Libertine G"/>
        <family val="2"/>
        <charset val="1"/>
      </rPr>
      <t xml:space="preserve">$700M</t>
    </r>
  </si>
  <si>
    <t xml:space="preserve">短贷全部还清</t>
  </si>
  <si>
    <t xml:space="preserve">上面几项合起来</t>
  </si>
  <si>
    <r>
      <rPr>
        <sz val="11"/>
        <rFont val="Linux Libertine G"/>
        <family val="2"/>
      </rPr>
      <t xml:space="preserve">股数 </t>
    </r>
    <r>
      <rPr>
        <sz val="11"/>
        <rFont val="Linux Libertine G"/>
        <family val="2"/>
        <charset val="1"/>
      </rPr>
      <t xml:space="preserve">+20%</t>
    </r>
    <r>
      <rPr>
        <sz val="11"/>
        <rFont val="Linux Libertine G"/>
        <family val="2"/>
      </rPr>
      <t xml:space="preserve">，净利 </t>
    </r>
    <r>
      <rPr>
        <sz val="11"/>
        <rFont val="Linux Libertine G"/>
        <family val="2"/>
        <charset val="1"/>
      </rPr>
      <t xml:space="preserve">+123%</t>
    </r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</si>
  <si>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+4,437</t>
    </r>
    <r>
      <rPr>
        <sz val="11"/>
        <rFont val="Linux Libertine G"/>
        <family val="2"/>
      </rPr>
      <t xml:space="preserve">、增发 </t>
    </r>
    <r>
      <rPr>
        <sz val="11"/>
        <rFont val="Linux Libertine G"/>
        <family val="2"/>
        <charset val="1"/>
      </rPr>
      <t xml:space="preserve">+4,581</t>
    </r>
    <r>
      <rPr>
        <sz val="11"/>
        <rFont val="Linux Libertine G"/>
        <family val="2"/>
      </rPr>
      <t xml:space="preserve">；扩产 −</t>
    </r>
    <r>
      <rPr>
        <sz val="11"/>
        <rFont val="Linux Libertine G"/>
        <family val="2"/>
        <charset val="1"/>
      </rPr>
      <t xml:space="preserve">5,126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retooling −1,064</t>
    </r>
    <r>
      <rPr>
        <sz val="11"/>
        <rFont val="Linux Libertine G"/>
        <family val="2"/>
      </rPr>
      <t xml:space="preserve">、还短贷 −</t>
    </r>
    <r>
      <rPr>
        <sz val="11"/>
        <rFont val="Linux Libertine G"/>
        <family val="2"/>
        <charset val="1"/>
      </rPr>
      <t xml:space="preserve">2,660</t>
    </r>
    <r>
      <rPr>
        <sz val="11"/>
        <rFont val="Linux Libertine G"/>
        <family val="2"/>
      </rPr>
      <t xml:space="preserve">、分红 −</t>
    </r>
    <r>
      <rPr>
        <sz val="11"/>
        <rFont val="Linux Libertine G"/>
        <family val="2"/>
        <charset val="1"/>
      </rPr>
      <t xml:space="preserve">100</t>
    </r>
  </si>
  <si>
    <r>
      <rPr>
        <sz val="11"/>
        <rFont val="Linux Libertine G"/>
        <family val="2"/>
      </rPr>
      <t xml:space="preserve">应收账款（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</si>
  <si>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t xml:space="preserve">销售额增加</t>
  </si>
  <si>
    <r>
      <rPr>
        <sz val="11"/>
        <rFont val="Linux Libertine G"/>
        <family val="2"/>
      </rPr>
      <t xml:space="preserve">扩产 </t>
    </r>
    <r>
      <rPr>
        <sz val="11"/>
        <rFont val="Linux Libertine G"/>
        <family val="2"/>
        <charset val="1"/>
      </rPr>
      <t xml:space="preserve">+750K + retooling</t>
    </r>
  </si>
  <si>
    <r>
      <rPr>
        <sz val="11"/>
        <rFont val="Linux Libertine G"/>
        <family val="2"/>
      </rPr>
      <t xml:space="preserve">负债（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</si>
  <si>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t xml:space="preserve">增发的钱还清短贷</t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</si>
  <si>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$4,581M + </t>
    </r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$2,945M − </t>
    </r>
    <r>
      <rPr>
        <sz val="11"/>
        <rFont val="Linux Libertine G"/>
        <family val="2"/>
      </rPr>
      <t xml:space="preserve">分红 </t>
    </r>
    <r>
      <rPr>
        <sz val="11"/>
        <rFont val="Linux Libertine G"/>
        <family val="2"/>
        <charset val="1"/>
      </rPr>
      <t xml:space="preserve">$100M</t>
    </r>
  </si>
  <si>
    <t xml:space="preserve">净利涨得比权益快</t>
  </si>
  <si>
    <r>
      <rPr>
        <sz val="11"/>
        <rFont val="Linux Libertine G"/>
        <family val="2"/>
      </rPr>
      <t xml:space="preserve">净利翻倍多、负债为 </t>
    </r>
    <r>
      <rPr>
        <sz val="11"/>
        <rFont val="Linux Libertine G"/>
        <family val="2"/>
        <charset val="1"/>
      </rPr>
      <t xml:space="preserve">0</t>
    </r>
  </si>
  <si>
    <r>
      <rPr>
        <sz val="11"/>
        <rFont val="Linux Libertine G"/>
        <family val="2"/>
      </rPr>
      <t xml:space="preserve">股价上涨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增发</t>
    </r>
  </si>
  <si>
    <r>
      <rPr>
        <sz val="11"/>
        <rFont val="Linux Libertine G"/>
        <family val="2"/>
      </rPr>
      <t xml:space="preserve">两款升级车上市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营销七家最多</t>
    </r>
  </si>
  <si>
    <t xml:space="preserve">销量份额</t>
  </si>
  <si>
    <r>
      <rPr>
        <sz val="11"/>
        <rFont val="Linux Libertine G"/>
        <family val="2"/>
      </rPr>
      <t xml:space="preserve">产能更大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新版 </t>
    </r>
    <r>
      <rPr>
        <sz val="11"/>
        <rFont val="Linux Libertine G"/>
        <family val="2"/>
        <charset val="1"/>
      </rPr>
      <t xml:space="preserve">Cafav</t>
    </r>
  </si>
  <si>
    <r>
      <rPr>
        <sz val="11"/>
        <rFont val="Linux Libertine G"/>
        <family val="2"/>
      </rPr>
      <t xml:space="preserve">新版 </t>
    </r>
    <r>
      <rPr>
        <sz val="11"/>
        <rFont val="Linux Libertine G"/>
        <family val="2"/>
        <charset val="1"/>
      </rPr>
      <t xml:space="preserve">40 / Sf5 / Q4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2F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3S </t>
    </r>
    <r>
      <rPr>
        <sz val="11"/>
        <rFont val="Linux Libertine G"/>
        <family val="2"/>
      </rPr>
      <t xml:space="preserve">第一，缺货 </t>
    </r>
    <r>
      <rPr>
        <sz val="11"/>
        <rFont val="Linux Libertine G"/>
        <family val="2"/>
        <charset val="1"/>
      </rPr>
      <t xml:space="preserve">&gt;30%</t>
    </r>
  </si>
  <si>
    <t xml:space="preserve">$22,385 → $24,000</t>
  </si>
  <si>
    <r>
      <rPr>
        <sz val="11"/>
        <rFont val="Linux Libertine G"/>
        <family val="2"/>
        <charset val="1"/>
      </rPr>
      <t xml:space="preserve">minor 68 / 195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4L </t>
    </r>
    <r>
      <rPr>
        <sz val="11"/>
        <rFont val="Linux Libertine G"/>
        <family val="2"/>
      </rPr>
      <t xml:space="preserve">第一</t>
    </r>
  </si>
  <si>
    <t xml:space="preserve">$22,500 → $24,000</t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</si>
  <si>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销量反而 </t>
    </r>
    <r>
      <rPr>
        <sz val="11"/>
        <rFont val="Linux Libertine G"/>
        <family val="2"/>
        <charset val="1"/>
      </rPr>
      <t xml:space="preserve">+18%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开着）</t>
    </r>
  </si>
  <si>
    <t xml:space="preserve">$12,640 → $13,900</t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</si>
  <si>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$4,437M − </t>
    </r>
    <r>
      <rPr>
        <sz val="11"/>
        <rFont val="Linux Libertine G"/>
        <family val="2"/>
      </rPr>
      <t xml:space="preserve">扩产和 </t>
    </r>
    <r>
      <rPr>
        <sz val="11"/>
        <rFont val="Linux Libertine G"/>
        <family val="2"/>
        <charset val="1"/>
      </rPr>
      <t xml:space="preserve">retooling $6,190M</t>
    </r>
    <r>
      <rPr>
        <sz val="11"/>
        <rFont val="Linux Libertine G"/>
        <family val="2"/>
      </rPr>
      <t xml:space="preserve">；为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准备产能</t>
    </r>
  </si>
  <si>
    <r>
      <rPr>
        <b val="true"/>
        <sz val="11"/>
        <color rgb="FFFFFFFF"/>
        <rFont val="Linux Libertine G"/>
        <family val="2"/>
        <charset val="1"/>
      </rPr>
      <t xml:space="preserve">C. </t>
    </r>
    <r>
      <rPr>
        <b val="true"/>
        <sz val="11"/>
        <color rgb="FFFFFFFF"/>
        <rFont val="Linux Libertine G"/>
        <family val="2"/>
      </rPr>
      <t xml:space="preserve">七家对比（</t>
    </r>
    <r>
      <rPr>
        <b val="true"/>
        <sz val="11"/>
        <color rgb="FFFFFFFF"/>
        <rFont val="Linux Libertine G"/>
        <family val="2"/>
        <charset val="1"/>
      </rPr>
      <t xml:space="preserve">Year 2</t>
    </r>
    <r>
      <rPr>
        <b val="true"/>
        <sz val="11"/>
        <color rgb="FFFFFFFF"/>
        <rFont val="Linux Libertine G"/>
        <family val="2"/>
      </rPr>
      <t xml:space="preserve">）和为什么现在是我们第一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</si>
  <si>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Alfa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Ace</t>
    </r>
    <r>
      <rPr>
        <sz val="11"/>
        <rFont val="Linux Libertine G"/>
        <family val="2"/>
      </rPr>
      <t xml:space="preserve">；宣布做 </t>
    </r>
    <r>
      <rPr>
        <sz val="11"/>
        <rFont val="Linux Libertine G"/>
        <family val="2"/>
        <charset val="1"/>
      </rPr>
      <t xml:space="preserve">Utility</t>
    </r>
    <r>
      <rPr>
        <sz val="11"/>
        <rFont val="Linux Libertine G"/>
        <family val="2"/>
      </rPr>
      <t xml:space="preserve">；份额 </t>
    </r>
    <r>
      <rPr>
        <sz val="11"/>
        <rFont val="Linux Libertine G"/>
        <family val="2"/>
        <charset val="1"/>
      </rPr>
      <t xml:space="preserve">15.4% → 10.8%</t>
    </r>
    <r>
      <rPr>
        <sz val="11"/>
        <rFont val="Linux Libertine G"/>
        <family val="2"/>
      </rPr>
      <t xml:space="preserve">；经营现金流 −</t>
    </r>
    <r>
      <rPr>
        <sz val="11"/>
        <rFont val="Linux Libertine G"/>
        <family val="2"/>
        <charset val="1"/>
      </rPr>
      <t xml:space="preserve">$1,187M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</si>
  <si>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Buzzy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Boffo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Boss </t>
    </r>
    <r>
      <rPr>
        <sz val="11"/>
        <rFont val="Linux Libertine G"/>
        <family val="2"/>
      </rPr>
      <t xml:space="preserve">三款；不分红；偏好度第一</t>
    </r>
  </si>
  <si>
    <r>
      <rPr>
        <sz val="11"/>
        <rFont val="Linux Libertine G"/>
        <family val="2"/>
        <charset val="1"/>
      </rPr>
      <t xml:space="preserve">Cafav major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minor </t>
    </r>
    <r>
      <rPr>
        <sz val="11"/>
        <rFont val="Linux Libertine G"/>
        <family val="2"/>
      </rPr>
      <t xml:space="preserve">上市；增发还清负债；扩产 </t>
    </r>
    <r>
      <rPr>
        <sz val="11"/>
        <rFont val="Linux Libertine G"/>
        <family val="2"/>
        <charset val="1"/>
      </rPr>
      <t xml:space="preserve">+750K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</si>
  <si>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Defy</t>
    </r>
    <r>
      <rPr>
        <sz val="11"/>
        <rFont val="Linux Libertine G"/>
        <family val="2"/>
      </rPr>
      <t xml:space="preserve">；一次性损失 </t>
    </r>
    <r>
      <rPr>
        <sz val="11"/>
        <rFont val="Linux Libertine G"/>
        <family val="2"/>
        <charset val="1"/>
      </rPr>
      <t xml:space="preserve">$285M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99 </t>
    </r>
    <r>
      <rPr>
        <sz val="11"/>
        <rFont val="Linux Libertine G"/>
        <family val="2"/>
      </rPr>
      <t xml:space="preserve">天库存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</si>
  <si>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Efizz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Egad</t>
    </r>
    <r>
      <rPr>
        <sz val="11"/>
        <rFont val="Linux Libertine G"/>
        <family val="2"/>
      </rPr>
      <t xml:space="preserve">；宣布做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</si>
  <si>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Fantasy</t>
    </r>
    <r>
      <rPr>
        <sz val="11"/>
        <rFont val="Linux Libertine G"/>
        <family val="2"/>
      </rPr>
      <t xml:space="preserve">；宣布做 </t>
    </r>
    <r>
      <rPr>
        <sz val="11"/>
        <rFont val="Linux Libertine G"/>
        <family val="2"/>
        <charset val="1"/>
      </rPr>
      <t xml:space="preserve">Utility</t>
    </r>
    <r>
      <rPr>
        <sz val="11"/>
        <rFont val="Linux Libertine G"/>
        <family val="2"/>
      </rPr>
      <t xml:space="preserve">；培训费最多；</t>
    </r>
    <r>
      <rPr>
        <sz val="11"/>
        <rFont val="Linux Libertine G"/>
        <family val="2"/>
        <charset val="1"/>
      </rPr>
      <t xml:space="preserve">Interior 5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Quality 7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</si>
  <si>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Gas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Gone</t>
    </r>
    <r>
      <rPr>
        <sz val="11"/>
        <rFont val="Linux Libertine G"/>
        <family val="2"/>
      </rPr>
      <t xml:space="preserve">；不分红；只有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个研发中心；</t>
    </r>
    <r>
      <rPr>
        <sz val="11"/>
        <rFont val="Linux Libertine G"/>
        <family val="2"/>
        <charset val="1"/>
      </rPr>
      <t xml:space="preserve">53 </t>
    </r>
    <r>
      <rPr>
        <sz val="11"/>
        <rFont val="Linux Libertine G"/>
        <family val="2"/>
      </rPr>
      <t xml:space="preserve">天库存</t>
    </r>
  </si>
  <si>
    <t xml:space="preserve">我们第一的原因</t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</si>
  <si>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新版是最好的家用车（</t>
    </r>
    <r>
      <rPr>
        <sz val="11"/>
        <rFont val="Linux Libertine G"/>
        <family val="2"/>
        <charset val="1"/>
      </rPr>
      <t xml:space="preserve">40 / Sf5 / Q4</t>
    </r>
    <r>
      <rPr>
        <sz val="11"/>
        <rFont val="Linux Libertine G"/>
        <family val="2"/>
      </rPr>
      <t xml:space="preserve">），同级最高价 </t>
    </r>
    <r>
      <rPr>
        <sz val="11"/>
        <rFont val="Linux Libertine G"/>
        <family val="2"/>
        <charset val="1"/>
      </rPr>
      <t xml:space="preserve">$24,000 </t>
    </r>
    <r>
      <rPr>
        <sz val="11"/>
        <rFont val="Linux Libertine G"/>
        <family val="2"/>
      </rPr>
      <t xml:space="preserve">还缺货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2F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3S </t>
    </r>
    <r>
      <rPr>
        <sz val="11"/>
        <rFont val="Linux Libertine G"/>
        <family val="2"/>
      </rPr>
      <t xml:space="preserve">第一；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是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4L </t>
    </r>
    <r>
      <rPr>
        <sz val="11"/>
        <rFont val="Linux Libertine G"/>
        <family val="2"/>
      </rPr>
      <t xml:space="preserve">第一；负债和利息为 </t>
    </r>
    <r>
      <rPr>
        <sz val="11"/>
        <rFont val="Linux Libertine G"/>
        <family val="2"/>
        <charset val="1"/>
      </rPr>
      <t xml:space="preserve">0</t>
    </r>
    <r>
      <rPr>
        <sz val="11"/>
        <rFont val="Linux Libertine G"/>
        <family val="2"/>
      </rPr>
      <t xml:space="preserve">；营销最多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两款升级，偏好度第 </t>
    </r>
    <r>
      <rPr>
        <sz val="11"/>
        <rFont val="Linux Libertine G"/>
        <family val="2"/>
        <charset val="1"/>
      </rPr>
      <t xml:space="preserve">2</t>
    </r>
    <r>
      <rPr>
        <sz val="11"/>
        <rFont val="Linux Libertine G"/>
        <family val="2"/>
      </rPr>
      <t xml:space="preserve">；产能 </t>
    </r>
    <r>
      <rPr>
        <sz val="11"/>
        <rFont val="Linux Libertine G"/>
        <family val="2"/>
        <charset val="1"/>
      </rPr>
      <t xml:space="preserve">1,500K + Flex</t>
    </r>
    <r>
      <rPr>
        <sz val="11"/>
        <rFont val="Linux Libertine G"/>
        <family val="2"/>
      </rPr>
      <t xml:space="preserve">，卖得最多</t>
    </r>
  </si>
  <si>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为什么掉下来</t>
    </r>
  </si>
  <si>
    <r>
      <rPr>
        <sz val="11"/>
        <rFont val="Linux Libertine G"/>
        <family val="2"/>
      </rPr>
      <t xml:space="preserve">研发只有 </t>
    </r>
    <r>
      <rPr>
        <sz val="11"/>
        <rFont val="Linux Libertine G"/>
        <family val="2"/>
        <charset val="1"/>
      </rPr>
      <t xml:space="preserve">$389M</t>
    </r>
    <r>
      <rPr>
        <sz val="11"/>
        <rFont val="Linux Libertine G"/>
        <family val="2"/>
      </rPr>
      <t xml:space="preserve">、没有新车；压了 </t>
    </r>
    <r>
      <rPr>
        <sz val="11"/>
        <rFont val="Linux Libertine G"/>
        <family val="2"/>
        <charset val="1"/>
      </rPr>
      <t xml:space="preserve">$2.7B </t>
    </r>
    <r>
      <rPr>
        <sz val="11"/>
        <rFont val="Linux Libertine G"/>
        <family val="2"/>
      </rPr>
      <t xml:space="preserve">库存；偏好度 </t>
    </r>
    <r>
      <rPr>
        <sz val="11"/>
        <rFont val="Linux Libertine G"/>
        <family val="2"/>
        <charset val="1"/>
      </rPr>
      <t xml:space="preserve">19.4% → 11.8%</t>
    </r>
  </si>
  <si>
    <r>
      <rPr>
        <sz val="11"/>
        <rFont val="Linux Libertine G"/>
        <family val="2"/>
        <charset val="1"/>
      </rPr>
      <t xml:space="preserve">B </t>
    </r>
    <r>
      <rPr>
        <sz val="11"/>
        <rFont val="Linux Libertine G"/>
        <family val="2"/>
      </rPr>
      <t xml:space="preserve">为什么第二</t>
    </r>
  </si>
  <si>
    <r>
      <rPr>
        <sz val="11"/>
        <rFont val="Linux Libertine G"/>
        <family val="2"/>
      </rPr>
      <t xml:space="preserve">一年升级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款车（都是 </t>
    </r>
    <r>
      <rPr>
        <sz val="11"/>
        <rFont val="Linux Libertine G"/>
        <family val="2"/>
        <charset val="1"/>
      </rPr>
      <t xml:space="preserve">minor</t>
    </r>
    <r>
      <rPr>
        <sz val="11"/>
        <rFont val="Linux Libertine G"/>
        <family val="2"/>
      </rPr>
      <t xml:space="preserve">，研发只花 </t>
    </r>
    <r>
      <rPr>
        <sz val="11"/>
        <rFont val="Linux Libertine G"/>
        <family val="2"/>
        <charset val="1"/>
      </rPr>
      <t xml:space="preserve">$501M</t>
    </r>
    <r>
      <rPr>
        <sz val="11"/>
        <rFont val="Linux Libertine G"/>
        <family val="2"/>
      </rPr>
      <t xml:space="preserve">），偏好度第一；不分红</t>
    </r>
  </si>
  <si>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的问题</t>
    </r>
  </si>
  <si>
    <r>
      <rPr>
        <sz val="11"/>
        <rFont val="Linux Libertine G"/>
        <family val="2"/>
      </rPr>
      <t xml:space="preserve">都压了 </t>
    </r>
    <r>
      <rPr>
        <sz val="11"/>
        <rFont val="Linux Libertine G"/>
        <family val="2"/>
        <charset val="1"/>
      </rPr>
      <t xml:space="preserve">99 </t>
    </r>
    <r>
      <rPr>
        <sz val="11"/>
        <rFont val="Linux Libertine G"/>
        <family val="2"/>
      </rPr>
      <t xml:space="preserve">天库存（</t>
    </r>
    <r>
      <rPr>
        <sz val="11"/>
        <rFont val="Linux Libertine G"/>
        <family val="2"/>
        <charset val="1"/>
      </rPr>
      <t xml:space="preserve">A $4.2B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 $4.9B</t>
    </r>
    <r>
      <rPr>
        <sz val="11"/>
        <rFont val="Linux Libertine G"/>
        <family val="2"/>
      </rPr>
      <t xml:space="preserve">），负债 </t>
    </r>
    <r>
      <rPr>
        <sz val="11"/>
        <rFont val="Linux Libertine G"/>
        <family val="2"/>
        <charset val="1"/>
      </rPr>
      <t xml:space="preserve">$6.0B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$8.0B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A </t>
    </r>
    <r>
      <rPr>
        <sz val="11"/>
        <rFont val="Linux Libertine G"/>
        <family val="2"/>
      </rPr>
      <t xml:space="preserve">毛利率 </t>
    </r>
    <r>
      <rPr>
        <sz val="11"/>
        <rFont val="Linux Libertine G"/>
        <family val="2"/>
        <charset val="1"/>
      </rPr>
      <t xml:space="preserve">26.0% </t>
    </r>
    <r>
      <rPr>
        <sz val="11"/>
        <rFont val="Linux Libertine G"/>
        <family val="2"/>
      </rPr>
      <t xml:space="preserve">是因为成本留在库存里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</si>
  <si>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b val="true"/>
        <sz val="11"/>
        <color rgb="FFFFFFFF"/>
        <rFont val="Linux Libertine G"/>
        <family val="2"/>
        <charset val="1"/>
      </rPr>
      <t xml:space="preserve">D. </t>
    </r>
    <r>
      <rPr>
        <b val="true"/>
        <sz val="11"/>
        <color rgb="FFFFFFFF"/>
        <rFont val="Linux Libertine G"/>
        <family val="2"/>
      </rPr>
      <t xml:space="preserve">问题和教训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</si>
  <si>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又定低了、产少了</t>
    </r>
  </si>
  <si>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真实需求超过 </t>
    </r>
    <r>
      <rPr>
        <sz val="11"/>
        <rFont val="Linux Libertine G"/>
        <family val="2"/>
        <charset val="1"/>
      </rPr>
      <t xml:space="preserve">103 </t>
    </r>
    <r>
      <rPr>
        <sz val="11"/>
        <rFont val="Linux Libertine G"/>
        <family val="2"/>
      </rPr>
      <t xml:space="preserve">万辆；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的断崖夸大了价格敏感度；升级效果 </t>
    </r>
    <r>
      <rPr>
        <sz val="11"/>
        <rFont val="Linux Libertine G"/>
        <family val="2"/>
        <charset val="1"/>
      </rPr>
      <t xml:space="preserve">+2.7 </t>
    </r>
    <r>
      <rPr>
        <sz val="11"/>
        <rFont val="Linux Libertine G"/>
        <family val="2"/>
      </rPr>
      <t xml:space="preserve">点（假设 </t>
    </r>
    <r>
      <rPr>
        <sz val="11"/>
        <rFont val="Linux Libertine G"/>
        <family val="2"/>
        <charset val="1"/>
      </rPr>
      <t xml:space="preserve">+1.2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</si>
  <si>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（现在测的是新版）往上提价</t>
    </r>
  </si>
  <si>
    <r>
      <rPr>
        <sz val="11"/>
        <rFont val="Linux Libertine G"/>
        <family val="2"/>
      </rPr>
      <t xml:space="preserve">超产到 </t>
    </r>
    <r>
      <rPr>
        <sz val="11"/>
        <rFont val="Linux Libertine G"/>
        <family val="2"/>
        <charset val="1"/>
      </rPr>
      <t xml:space="preserve">112%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</si>
  <si>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加满，超产能费 </t>
    </r>
    <r>
      <rPr>
        <sz val="11"/>
        <rFont val="Linux Libertine G"/>
        <family val="2"/>
        <charset val="1"/>
      </rPr>
      <t xml:space="preserve">$400M</t>
    </r>
    <r>
      <rPr>
        <sz val="11"/>
        <rFont val="Linux Libertine G"/>
        <family val="2"/>
      </rPr>
      <t xml:space="preserve">；每辆车毛利都高于超产成本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</si>
  <si>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产能 </t>
    </r>
    <r>
      <rPr>
        <sz val="11"/>
        <rFont val="Linux Libertine G"/>
        <family val="2"/>
        <charset val="1"/>
      </rPr>
      <t xml:space="preserve">2,250K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上市后还会紧，再扩产</t>
    </r>
  </si>
  <si>
    <t xml:space="preserve">全行业规模又估高了</t>
  </si>
  <si>
    <r>
      <rPr>
        <sz val="11"/>
        <rFont val="Linux Libertine G"/>
        <family val="2"/>
        <charset val="1"/>
      </rPr>
      <t xml:space="preserve">10,500K vs 9,519K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压库存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</si>
  <si>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他们可能降价清库存，盯住价格</t>
    </r>
  </si>
  <si>
    <r>
      <rPr>
        <sz val="11"/>
        <rFont val="Linux Libertine G"/>
        <family val="2"/>
        <charset val="1"/>
      </rPr>
      <t xml:space="preserve">Dealer Rating </t>
    </r>
    <r>
      <rPr>
        <sz val="11"/>
        <rFont val="Linux Libertine G"/>
        <family val="2"/>
      </rPr>
      <t xml:space="preserve">降到 </t>
    </r>
    <r>
      <rPr>
        <sz val="11"/>
        <rFont val="Linux Libertine G"/>
        <family val="2"/>
        <charset val="1"/>
      </rPr>
      <t xml:space="preserve">66</t>
    </r>
  </si>
  <si>
    <r>
      <rPr>
        <sz val="11"/>
        <rFont val="Linux Libertine G"/>
        <family val="2"/>
      </rPr>
      <t xml:space="preserve">其他家多是 </t>
    </r>
    <r>
      <rPr>
        <sz val="11"/>
        <rFont val="Linux Libertine G"/>
        <family val="2"/>
        <charset val="1"/>
      </rPr>
      <t xml:space="preserve">67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</si>
  <si>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提高培训费</t>
    </r>
  </si>
  <si>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宣布做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</si>
  <si>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</rPr>
      <t xml:space="preserve">最早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</si>
  <si>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  <charset val="1"/>
      </rPr>
      <t xml:space="preserve">Canyon Y3 </t>
    </r>
    <r>
      <rPr>
        <sz val="11"/>
        <rFont val="Linux Libertine G"/>
        <family val="2"/>
      </rPr>
      <t xml:space="preserve">先独占 </t>
    </r>
    <r>
      <rPr>
        <sz val="11"/>
        <rFont val="Linux Libertine G"/>
        <family val="2"/>
        <charset val="1"/>
      </rPr>
      <t xml:space="preserve">5U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准备竞争</t>
    </r>
  </si>
  <si>
    <r>
      <rPr>
        <b val="true"/>
        <sz val="11"/>
        <color rgb="FFFFFFFF"/>
        <rFont val="Linux Libertine G"/>
        <family val="2"/>
        <charset val="1"/>
      </rPr>
      <t xml:space="preserve">E. </t>
    </r>
    <r>
      <rPr>
        <b val="true"/>
        <sz val="11"/>
        <color rgb="FFFFFFFF"/>
        <rFont val="Linux Libertine G"/>
        <family val="2"/>
      </rPr>
      <t xml:space="preserve">年度财务目标</t>
    </r>
  </si>
  <si>
    <t xml:space="preserve">+41.8%</t>
  </si>
  <si>
    <t xml:space="preserve">22.9% → 25.5%</t>
  </si>
  <si>
    <t xml:space="preserve">5.7% → 9.1%</t>
  </si>
  <si>
    <r>
      <rPr>
        <sz val="11"/>
        <rFont val="Linux Libertine G"/>
        <family val="2"/>
        <charset val="1"/>
      </rPr>
      <t xml:space="preserve">−$1,753M</t>
    </r>
    <r>
      <rPr>
        <sz val="11"/>
        <rFont val="Linux Libertine G"/>
        <family val="2"/>
      </rPr>
      <t xml:space="preserve">（为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扩产）</t>
    </r>
  </si>
  <si>
    <t xml:space="preserve">19.0% → 20.5%</t>
  </si>
  <si>
    <t xml:space="preserve">+73%</t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</si>
  <si>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Year 3 </t>
    </r>
    <r>
      <rPr>
        <b val="true"/>
        <sz val="14"/>
        <rFont val="Linux Libertine G"/>
        <family val="2"/>
      </rPr>
      <t xml:space="preserve">结果复盘（</t>
    </r>
    <r>
      <rPr>
        <b val="true"/>
        <sz val="14"/>
        <rFont val="Linux Libertine G"/>
        <family val="2"/>
        <charset val="1"/>
      </rPr>
      <t xml:space="preserve">10/24 </t>
    </r>
    <r>
      <rPr>
        <b val="true"/>
        <sz val="14"/>
        <rFont val="Linux Libertine G"/>
        <family val="2"/>
      </rPr>
      <t xml:space="preserve">出结果）</t>
    </r>
  </si>
  <si>
    <r>
      <rPr>
        <i val="true"/>
        <sz val="11"/>
        <color rgb="FF595959"/>
        <rFont val="Linux Libertine G"/>
        <family val="2"/>
      </rPr>
      <t xml:space="preserve">七家第 </t>
    </r>
    <r>
      <rPr>
        <i val="true"/>
        <sz val="11"/>
        <color rgb="FF595959"/>
        <rFont val="Linux Libertine G"/>
        <family val="2"/>
        <charset val="1"/>
      </rPr>
      <t xml:space="preserve">1</t>
    </r>
    <r>
      <rPr>
        <i val="true"/>
        <sz val="11"/>
        <color rgb="FF595959"/>
        <rFont val="Linux Libertine G"/>
        <family val="2"/>
      </rPr>
      <t xml:space="preserve">，领先拉得更大：</t>
    </r>
    <r>
      <rPr>
        <i val="true"/>
        <sz val="11"/>
        <color rgb="FF595959"/>
        <rFont val="Linux Libertine G"/>
        <family val="2"/>
        <charset val="1"/>
      </rPr>
      <t xml:space="preserve">Weighted Score 98.2</t>
    </r>
    <r>
      <rPr>
        <i val="true"/>
        <sz val="11"/>
        <color rgb="FF595959"/>
        <rFont val="Linux Libertine G"/>
        <family val="2"/>
      </rPr>
      <t xml:space="preserve">（第 </t>
    </r>
    <r>
      <rPr>
        <i val="true"/>
        <sz val="11"/>
        <color rgb="FF595959"/>
        <rFont val="Linux Libertine G"/>
        <family val="2"/>
        <charset val="1"/>
      </rPr>
      <t xml:space="preserve">2 </t>
    </r>
    <r>
      <rPr>
        <i val="true"/>
        <sz val="11"/>
        <color rgb="FF595959"/>
        <rFont val="Linux Libertine G"/>
        <family val="2"/>
      </rPr>
      <t xml:space="preserve">名 </t>
    </r>
    <r>
      <rPr>
        <i val="true"/>
        <sz val="11"/>
        <color rgb="FF595959"/>
        <rFont val="Linux Libertine G"/>
        <family val="2"/>
        <charset val="1"/>
      </rPr>
      <t xml:space="preserve">F 79.0</t>
    </r>
    <r>
      <rPr>
        <i val="true"/>
        <sz val="11"/>
        <color rgb="FF595959"/>
        <rFont val="Linux Libertine G"/>
        <family val="2"/>
      </rPr>
      <t xml:space="preserve">）；净利 </t>
    </r>
    <r>
      <rPr>
        <i val="true"/>
        <sz val="11"/>
        <color rgb="FF595959"/>
        <rFont val="Linux Libertine G"/>
        <family val="2"/>
        <charset val="1"/>
      </rPr>
      <t xml:space="preserve">$9,242M</t>
    </r>
    <r>
      <rPr>
        <i val="true"/>
        <sz val="11"/>
        <color rgb="FF595959"/>
        <rFont val="Linux Libertine G"/>
        <family val="2"/>
      </rPr>
      <t xml:space="preserve">（第 </t>
    </r>
    <r>
      <rPr>
        <i val="true"/>
        <sz val="11"/>
        <color rgb="FF595959"/>
        <rFont val="Linux Libertine G"/>
        <family val="2"/>
        <charset val="1"/>
      </rPr>
      <t xml:space="preserve">2 </t>
    </r>
    <r>
      <rPr>
        <i val="true"/>
        <sz val="11"/>
        <color rgb="FF595959"/>
        <rFont val="Linux Libertine G"/>
        <family val="2"/>
      </rPr>
      <t xml:space="preserve">名 </t>
    </r>
    <r>
      <rPr>
        <i val="true"/>
        <sz val="11"/>
        <color rgb="FF595959"/>
        <rFont val="Linux Libertine G"/>
        <family val="2"/>
        <charset val="1"/>
      </rPr>
      <t xml:space="preserve">F $3,399M</t>
    </r>
    <r>
      <rPr>
        <i val="true"/>
        <sz val="11"/>
        <color rgb="FF595959"/>
        <rFont val="Linux Libertine G"/>
        <family val="2"/>
      </rPr>
      <t xml:space="preserve">）；累计净利 </t>
    </r>
    <r>
      <rPr>
        <i val="true"/>
        <sz val="11"/>
        <color rgb="FF595959"/>
        <rFont val="Linux Libertine G"/>
        <family val="2"/>
        <charset val="1"/>
      </rPr>
      <t xml:space="preserve">$14,706M</t>
    </r>
    <r>
      <rPr>
        <i val="true"/>
        <sz val="11"/>
        <color rgb="FF595959"/>
        <rFont val="Linux Libertine G"/>
        <family val="2"/>
      </rPr>
      <t xml:space="preserve">（第 </t>
    </r>
    <r>
      <rPr>
        <i val="true"/>
        <sz val="11"/>
        <color rgb="FF595959"/>
        <rFont val="Linux Libertine G"/>
        <family val="2"/>
        <charset val="1"/>
      </rPr>
      <t xml:space="preserve">2 </t>
    </r>
    <r>
      <rPr>
        <i val="true"/>
        <sz val="11"/>
        <color rgb="FF595959"/>
        <rFont val="Linux Libertine G"/>
        <family val="2"/>
      </rPr>
      <t xml:space="preserve">名 </t>
    </r>
    <r>
      <rPr>
        <i val="true"/>
        <sz val="11"/>
        <color rgb="FF595959"/>
        <rFont val="Linux Libertine G"/>
        <family val="2"/>
        <charset val="1"/>
      </rPr>
      <t xml:space="preserve">B $7,210M</t>
    </r>
    <r>
      <rPr>
        <i val="true"/>
        <sz val="11"/>
        <color rgb="FF595959"/>
        <rFont val="Linux Libertine G"/>
        <family val="2"/>
      </rPr>
      <t xml:space="preserve">）；市值 </t>
    </r>
    <r>
      <rPr>
        <i val="true"/>
        <sz val="11"/>
        <color rgb="FF595959"/>
        <rFont val="Linux Libertine G"/>
        <family val="2"/>
        <charset val="1"/>
      </rPr>
      <t xml:space="preserve">$75.3B</t>
    </r>
    <r>
      <rPr>
        <i val="true"/>
        <sz val="11"/>
        <color rgb="FF595959"/>
        <rFont val="Linux Libertine G"/>
        <family val="2"/>
      </rPr>
      <t xml:space="preserve">（第 </t>
    </r>
    <r>
      <rPr>
        <i val="true"/>
        <sz val="11"/>
        <color rgb="FF595959"/>
        <rFont val="Linux Libertine G"/>
        <family val="2"/>
        <charset val="1"/>
      </rPr>
      <t xml:space="preserve">2 </t>
    </r>
    <r>
      <rPr>
        <i val="true"/>
        <sz val="11"/>
        <color rgb="FF595959"/>
        <rFont val="Linux Libertine G"/>
        <family val="2"/>
      </rPr>
      <t xml:space="preserve">名 </t>
    </r>
    <r>
      <rPr>
        <i val="true"/>
        <sz val="11"/>
        <color rgb="FF595959"/>
        <rFont val="Linux Libertine G"/>
        <family val="2"/>
        <charset val="1"/>
      </rPr>
      <t xml:space="preserve">F $36.0B</t>
    </r>
    <r>
      <rPr>
        <i val="true"/>
        <sz val="11"/>
        <color rgb="FF595959"/>
        <rFont val="Linux Libertine G"/>
        <family val="2"/>
      </rPr>
      <t xml:space="preserve">）；销量份额和 </t>
    </r>
    <r>
      <rPr>
        <i val="true"/>
        <sz val="11"/>
        <color rgb="FF595959"/>
        <rFont val="Linux Libertine G"/>
        <family val="2"/>
        <charset val="1"/>
      </rPr>
      <t xml:space="preserve">Firm Preference </t>
    </r>
    <r>
      <rPr>
        <i val="true"/>
        <sz val="11"/>
        <color rgb="FF595959"/>
        <rFont val="Linux Libertine G"/>
        <family val="2"/>
      </rPr>
      <t xml:space="preserve">都是 </t>
    </r>
    <r>
      <rPr>
        <i val="true"/>
        <sz val="11"/>
        <color rgb="FF595959"/>
        <rFont val="Linux Libertine G"/>
        <family val="2"/>
        <charset val="1"/>
      </rPr>
      <t xml:space="preserve">22.5%</t>
    </r>
    <r>
      <rPr>
        <i val="true"/>
        <sz val="11"/>
        <color rgb="FF595959"/>
        <rFont val="Linux Libertine G"/>
        <family val="2"/>
      </rPr>
      <t xml:space="preserve">，第 </t>
    </r>
    <r>
      <rPr>
        <i val="true"/>
        <sz val="11"/>
        <color rgb="FF595959"/>
        <rFont val="Linux Libertine G"/>
        <family val="2"/>
        <charset val="1"/>
      </rPr>
      <t xml:space="preserve">1</t>
    </r>
    <r>
      <rPr>
        <i val="true"/>
        <sz val="11"/>
        <color rgb="FF595959"/>
        <rFont val="Linux Libertine G"/>
        <family val="2"/>
      </rPr>
      <t xml:space="preserve">。下面是：我们怎么预测的、实际多少、为什么有差距；每个数据为什么涨跌；七家对比和我们为什么第一；问题和教训；年度财务目标。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</si>
  <si>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销量（千辆）</t>
    </r>
  </si>
  <si>
    <r>
      <rPr>
        <sz val="11"/>
        <rFont val="Linux Libertine G"/>
        <family val="2"/>
        <charset val="1"/>
      </rPr>
      <t xml:space="preserve">Concept Test 5U + </t>
    </r>
    <r>
      <rPr>
        <sz val="11"/>
        <rFont val="Linux Libertine G"/>
        <family val="2"/>
      </rPr>
      <t xml:space="preserve">推断（当时没有对手的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车）</t>
    </r>
  </si>
  <si>
    <r>
      <rPr>
        <sz val="11"/>
        <rFont val="Linux Libertine G"/>
        <family val="2"/>
      </rPr>
      <t xml:space="preserve">对手同年就上了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款 </t>
    </r>
    <r>
      <rPr>
        <sz val="11"/>
        <rFont val="Linux Libertine G"/>
        <family val="2"/>
        <charset val="1"/>
      </rPr>
      <t xml:space="preserve">Utility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Axiom $25,999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Elan $28,000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Futura $35,000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Canyon $39,000 </t>
    </r>
    <r>
      <rPr>
        <sz val="11"/>
        <rFont val="Linux Libertine G"/>
        <family val="2"/>
      </rPr>
      <t xml:space="preserve">最贵；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全年 −</t>
    </r>
    <r>
      <rPr>
        <sz val="11"/>
        <rFont val="Linux Libertine G"/>
        <family val="2"/>
        <charset val="1"/>
      </rPr>
      <t xml:space="preserve">18%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876K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3U +18.6%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Axiom </t>
    </r>
    <r>
      <rPr>
        <sz val="11"/>
        <rFont val="Linux Libertine G"/>
        <family val="2"/>
      </rPr>
      <t xml:space="preserve">第一）。排了 </t>
    </r>
    <r>
      <rPr>
        <sz val="11"/>
        <rFont val="Linux Libertine G"/>
        <family val="2"/>
        <charset val="1"/>
      </rPr>
      <t xml:space="preserve">650K</t>
    </r>
    <r>
      <rPr>
        <sz val="11"/>
        <rFont val="Linux Libertine G"/>
        <family val="2"/>
      </rPr>
      <t xml:space="preserve">，压 </t>
    </r>
    <r>
      <rPr>
        <sz val="11"/>
        <rFont val="Linux Libertine G"/>
        <family val="2"/>
        <charset val="1"/>
      </rPr>
      <t xml:space="preserve">65K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41 </t>
    </r>
    <r>
      <rPr>
        <sz val="11"/>
        <rFont val="Linux Libertine G"/>
        <family val="2"/>
      </rPr>
      <t xml:space="preserve">天）</t>
    </r>
  </si>
  <si>
    <r>
      <rPr>
        <sz val="11"/>
        <rFont val="Linux Libertine G"/>
        <family val="2"/>
        <charset val="1"/>
      </rPr>
      <t xml:space="preserve">Test Market 8.3% × </t>
    </r>
    <r>
      <rPr>
        <sz val="11"/>
        <rFont val="Linux Libertine G"/>
        <family val="2"/>
      </rPr>
      <t xml:space="preserve">行业规模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</si>
  <si>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10–30%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加满（</t>
    </r>
    <r>
      <rPr>
        <sz val="11"/>
        <rFont val="Linux Libertine G"/>
        <family val="2"/>
        <charset val="1"/>
      </rPr>
      <t xml:space="preserve">880 × 1.1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</si>
  <si>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Test Market 5.1%</t>
    </r>
    <r>
      <rPr>
        <sz val="11"/>
        <rFont val="Linux Libertine G"/>
        <family val="2"/>
      </rPr>
      <t xml:space="preserve">，再扣掉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分走的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买家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</si>
  <si>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10–30%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加满（</t>
    </r>
    <r>
      <rPr>
        <sz val="11"/>
        <rFont val="Linux Libertine G"/>
        <family val="2"/>
        <charset val="1"/>
      </rPr>
      <t xml:space="preserve">430 × 1.1</t>
    </r>
    <r>
      <rPr>
        <sz val="11"/>
        <rFont val="Linux Libertine G"/>
        <family val="2"/>
      </rPr>
      <t xml:space="preserve">）</t>
    </r>
  </si>
  <si>
    <t xml:space="preserve">Test Market 3.3%</t>
  </si>
  <si>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10–30%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加满（</t>
    </r>
    <r>
      <rPr>
        <sz val="11"/>
        <rFont val="Linux Libertine G"/>
        <family val="2"/>
        <charset val="1"/>
      </rPr>
      <t xml:space="preserve">340 × 1.1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</si>
  <si>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三款老车多卖的 </t>
    </r>
    <r>
      <rPr>
        <sz val="11"/>
        <rFont val="Linux Libertine G"/>
        <family val="2"/>
        <charset val="1"/>
      </rPr>
      <t xml:space="preserve">105K </t>
    </r>
    <r>
      <rPr>
        <sz val="11"/>
        <rFont val="Linux Libertine G"/>
        <family val="2"/>
      </rPr>
      <t xml:space="preserve">抵掉了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少卖的 </t>
    </r>
    <r>
      <rPr>
        <sz val="11"/>
        <rFont val="Linux Libertine G"/>
        <family val="2"/>
        <charset val="1"/>
      </rPr>
      <t xml:space="preserve">95K</t>
    </r>
  </si>
  <si>
    <r>
      <rPr>
        <sz val="11"/>
        <rFont val="Linux Libertine G"/>
        <family val="2"/>
      </rPr>
      <t xml:space="preserve">新版第二年，</t>
    </r>
    <r>
      <rPr>
        <sz val="11"/>
        <rFont val="Linux Libertine G"/>
        <family val="2"/>
        <charset val="1"/>
      </rPr>
      <t xml:space="preserve">2F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3S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都是第一</t>
    </r>
  </si>
  <si>
    <r>
      <rPr>
        <sz val="11"/>
        <rFont val="Linux Libertine G"/>
        <family val="2"/>
      </rPr>
      <t xml:space="preserve">是产量卡住了（缺货 </t>
    </r>
    <r>
      <rPr>
        <sz val="11"/>
        <rFont val="Linux Libertine G"/>
        <family val="2"/>
        <charset val="1"/>
      </rPr>
      <t xml:space="preserve">10–30%</t>
    </r>
    <r>
      <rPr>
        <sz val="11"/>
        <rFont val="Linux Libertine G"/>
        <family val="2"/>
      </rPr>
      <t xml:space="preserve">），不是没人要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</si>
  <si>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还缺货</t>
    </r>
  </si>
  <si>
    <r>
      <rPr>
        <sz val="11"/>
        <rFont val="Linux Libertine G"/>
        <family val="2"/>
        <charset val="1"/>
      </rPr>
      <t xml:space="preserve">Manufacturing </t>
    </r>
    <r>
      <rPr>
        <sz val="11"/>
        <rFont val="Linux Libertine G"/>
        <family val="2"/>
      </rPr>
      <t xml:space="preserve">页面按排产 </t>
    </r>
    <r>
      <rPr>
        <sz val="11"/>
        <rFont val="Linux Libertine G"/>
        <family val="2"/>
        <charset val="1"/>
      </rPr>
      <t xml:space="preserve">2,300K </t>
    </r>
    <r>
      <rPr>
        <sz val="11"/>
        <rFont val="Linux Libertine G"/>
        <family val="2"/>
      </rPr>
      <t xml:space="preserve">读数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</si>
  <si>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给三款老车多产 </t>
    </r>
    <r>
      <rPr>
        <sz val="11"/>
        <rFont val="Linux Libertine G"/>
        <family val="2"/>
        <charset val="1"/>
      </rPr>
      <t xml:space="preserve">165K</t>
    </r>
    <r>
      <rPr>
        <sz val="11"/>
        <rFont val="Linux Libertine G"/>
        <family val="2"/>
      </rPr>
      <t xml:space="preserve">，利用率 </t>
    </r>
    <r>
      <rPr>
        <sz val="11"/>
        <rFont val="Linux Libertine G"/>
        <family val="2"/>
        <charset val="1"/>
      </rPr>
      <t xml:space="preserve">109.6%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</si>
  <si>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少卖 </t>
    </r>
    <r>
      <rPr>
        <sz val="11"/>
        <rFont val="Linux Libertine G"/>
        <family val="2"/>
        <charset val="1"/>
      </rPr>
      <t xml:space="preserve">95K</t>
    </r>
    <r>
      <rPr>
        <sz val="11"/>
        <rFont val="Linux Libertine G"/>
        <family val="2"/>
      </rPr>
      <t xml:space="preserve">（约 −</t>
    </r>
    <r>
      <rPr>
        <sz val="11"/>
        <rFont val="Linux Libertine G"/>
        <family val="2"/>
        <charset val="1"/>
      </rPr>
      <t xml:space="preserve">$3.26B</t>
    </r>
    <r>
      <rPr>
        <sz val="11"/>
        <rFont val="Linux Libertine G"/>
        <family val="2"/>
      </rPr>
      <t xml:space="preserve">），老车多卖 </t>
    </r>
    <r>
      <rPr>
        <sz val="11"/>
        <rFont val="Linux Libertine G"/>
        <family val="2"/>
        <charset val="1"/>
      </rPr>
      <t xml:space="preserve">105K</t>
    </r>
    <r>
      <rPr>
        <sz val="11"/>
        <rFont val="Linux Libertine G"/>
        <family val="2"/>
      </rPr>
      <t xml:space="preserve">（约 </t>
    </r>
    <r>
      <rPr>
        <sz val="11"/>
        <rFont val="Linux Libertine G"/>
        <family val="2"/>
        <charset val="1"/>
      </rPr>
      <t xml:space="preserve">+$2.29B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</si>
  <si>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没卖掉的成本留在库存里；超产能费多 </t>
    </r>
    <r>
      <rPr>
        <sz val="11"/>
        <rFont val="Linux Libertine G"/>
        <family val="2"/>
        <charset val="1"/>
      </rPr>
      <t xml:space="preserve">$354M</t>
    </r>
  </si>
  <si>
    <r>
      <rPr>
        <sz val="11"/>
        <rFont val="Linux Libertine G"/>
        <family val="2"/>
      </rPr>
      <t xml:space="preserve">超产能费多；单车毛利最高的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卖少了</t>
    </r>
  </si>
  <si>
    <r>
      <rPr>
        <sz val="11"/>
        <rFont val="Linux Libertine G"/>
        <family val="2"/>
      </rPr>
      <t xml:space="preserve">按贡献算：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少约 </t>
    </r>
    <r>
      <rPr>
        <sz val="11"/>
        <rFont val="Linux Libertine G"/>
        <family val="2"/>
        <charset val="1"/>
      </rPr>
      <t xml:space="preserve">$1.36B</t>
    </r>
    <r>
      <rPr>
        <sz val="11"/>
        <rFont val="Linux Libertine G"/>
        <family val="2"/>
      </rPr>
      <t xml:space="preserve">，老车多约 </t>
    </r>
    <r>
      <rPr>
        <sz val="11"/>
        <rFont val="Linux Libertine G"/>
        <family val="2"/>
        <charset val="1"/>
      </rPr>
      <t xml:space="preserve">$0.82B</t>
    </r>
    <r>
      <rPr>
        <sz val="11"/>
        <rFont val="Linux Libertine G"/>
        <family val="2"/>
      </rPr>
      <t xml:space="preserve">，超产能费多 </t>
    </r>
    <r>
      <rPr>
        <sz val="11"/>
        <rFont val="Linux Libertine G"/>
        <family val="2"/>
        <charset val="1"/>
      </rPr>
      <t xml:space="preserve">$0.35B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库存吸收了一部分固定成本</t>
    </r>
  </si>
  <si>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（另有 </t>
    </r>
    <r>
      <rPr>
        <sz val="11"/>
        <rFont val="Linux Libertine G"/>
        <family val="2"/>
        <charset val="1"/>
      </rPr>
      <t xml:space="preserve">CD $2,000M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</si>
  <si>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库存占了 </t>
    </r>
    <r>
      <rPr>
        <sz val="11"/>
        <rFont val="Linux Libertine G"/>
        <family val="2"/>
        <charset val="1"/>
      </rPr>
      <t xml:space="preserve">$1,372M</t>
    </r>
    <r>
      <rPr>
        <sz val="11"/>
        <rFont val="Linux Libertine G"/>
        <family val="2"/>
      </rPr>
      <t xml:space="preserve">；净利少了</t>
    </r>
  </si>
  <si>
    <r>
      <rPr>
        <sz val="11"/>
        <rFont val="Linux Libertine G"/>
        <family val="2"/>
      </rPr>
      <t xml:space="preserve">全是 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41 </t>
    </r>
    <r>
      <rPr>
        <sz val="11"/>
        <rFont val="Linux Libertine G"/>
        <family val="2"/>
      </rPr>
      <t xml:space="preserve">天）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</si>
  <si>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Canyon </t>
    </r>
    <r>
      <rPr>
        <sz val="11"/>
        <rFont val="Linux Libertine G"/>
        <family val="2"/>
      </rPr>
      <t xml:space="preserve">上市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 </t>
    </r>
    <r>
      <rPr>
        <sz val="11"/>
        <rFont val="Linux Libertine G"/>
        <family val="2"/>
        <charset val="1"/>
      </rPr>
      <t xml:space="preserve">$1.1B </t>
    </r>
    <r>
      <rPr>
        <sz val="11"/>
        <rFont val="Linux Libertine G"/>
        <family val="2"/>
      </rPr>
      <t xml:space="preserve">会继续升</t>
    </r>
  </si>
  <si>
    <r>
      <rPr>
        <sz val="11"/>
        <rFont val="Linux Libertine G"/>
        <family val="2"/>
        <charset val="1"/>
      </rPr>
      <t xml:space="preserve">+3.1 </t>
    </r>
    <r>
      <rPr>
        <sz val="11"/>
        <rFont val="Linux Libertine G"/>
        <family val="2"/>
      </rPr>
      <t xml:space="preserve">点</t>
    </r>
  </si>
  <si>
    <r>
      <rPr>
        <sz val="11"/>
        <rFont val="Linux Libertine G"/>
        <family val="2"/>
      </rPr>
      <t xml:space="preserve">✅ 一款新车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一款升级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营销七家最多</t>
    </r>
  </si>
  <si>
    <t xml:space="preserve">没有单独预测；今年不增发</t>
  </si>
  <si>
    <t xml:space="preserve">+90%</t>
  </si>
  <si>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倍多；没增发，股价和市值同比例涨</t>
    </r>
  </si>
  <si>
    <r>
      <rPr>
        <sz val="11"/>
        <rFont val="Linux Libertine G"/>
        <family val="2"/>
      </rPr>
      <t xml:space="preserve">基准 </t>
    </r>
    <r>
      <rPr>
        <sz val="11"/>
        <rFont val="Linux Libertine G"/>
        <family val="2"/>
        <charset val="1"/>
      </rPr>
      <t xml:space="preserve">$9,680M</t>
    </r>
    <r>
      <rPr>
        <sz val="11"/>
        <rFont val="Linux Libertine G"/>
        <family val="2"/>
      </rPr>
      <t xml:space="preserve">；保守 </t>
    </r>
    <r>
      <rPr>
        <sz val="11"/>
        <rFont val="Linux Libertine G"/>
        <family val="2"/>
        <charset val="1"/>
      </rPr>
      <t xml:space="preserve">90%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$8.4B</t>
    </r>
  </si>
  <si>
    <r>
      <rPr>
        <sz val="11"/>
        <rFont val="Linux Libertine G"/>
        <family val="2"/>
      </rPr>
      <t xml:space="preserve">约基准的 </t>
    </r>
    <r>
      <rPr>
        <sz val="11"/>
        <rFont val="Linux Libertine G"/>
        <family val="2"/>
        <charset val="1"/>
      </rPr>
      <t xml:space="preserve">95%</t>
    </r>
  </si>
  <si>
    <t xml:space="preserve">落在基准和保守之间</t>
  </si>
  <si>
    <r>
      <rPr>
        <sz val="11"/>
        <rFont val="Linux Libertine G"/>
        <family val="2"/>
      </rPr>
      <t xml:space="preserve">是系统预测 </t>
    </r>
    <r>
      <rPr>
        <sz val="11"/>
        <rFont val="Linux Libertine G"/>
        <family val="2"/>
        <charset val="1"/>
      </rPr>
      <t xml:space="preserve">14,314K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75%</t>
    </r>
    <r>
      <rPr>
        <sz val="11"/>
        <rFont val="Linux Libertine G"/>
        <family val="2"/>
      </rPr>
      <t xml:space="preserve">，“约 </t>
    </r>
    <r>
      <rPr>
        <sz val="11"/>
        <rFont val="Linux Libertine G"/>
        <family val="2"/>
        <charset val="1"/>
      </rPr>
      <t xml:space="preserve">77%”</t>
    </r>
    <r>
      <rPr>
        <sz val="11"/>
        <rFont val="Linux Libertine G"/>
        <family val="2"/>
      </rPr>
      <t xml:space="preserve">的规律还成立</t>
    </r>
  </si>
  <si>
    <r>
      <rPr>
        <b val="true"/>
        <sz val="11"/>
        <color rgb="FFFFFFFF"/>
        <rFont val="Linux Libertine G"/>
        <family val="2"/>
        <charset val="1"/>
      </rPr>
      <t xml:space="preserve">B. </t>
    </r>
    <r>
      <rPr>
        <b val="true"/>
        <sz val="11"/>
        <color rgb="FFFFFFFF"/>
        <rFont val="Linux Libertine G"/>
        <family val="2"/>
      </rPr>
      <t xml:space="preserve">每个数据为什么涨、为什么跌（</t>
    </r>
    <r>
      <rPr>
        <b val="true"/>
        <sz val="11"/>
        <color rgb="FFFFFFFF"/>
        <rFont val="Linux Libertine G"/>
        <family val="2"/>
        <charset val="1"/>
      </rPr>
      <t xml:space="preserve">Year 2 → Year 3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</si>
  <si>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产能 </t>
    </r>
    <r>
      <rPr>
        <sz val="11"/>
        <rFont val="Linux Libertine G"/>
        <family val="2"/>
        <charset val="1"/>
      </rPr>
      <t xml:space="preserve">1,500K → 2,250K</t>
    </r>
    <r>
      <rPr>
        <sz val="11"/>
        <rFont val="Linux Libertine G"/>
        <family val="2"/>
      </rPr>
      <t xml:space="preserve">，销量 </t>
    </r>
    <r>
      <rPr>
        <sz val="11"/>
        <rFont val="Linux Libertine G"/>
        <family val="2"/>
        <charset val="1"/>
      </rPr>
      <t xml:space="preserve">1,682K → 2,400K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+43%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一辆 </t>
    </r>
    <r>
      <rPr>
        <sz val="11"/>
        <rFont val="Linux Libertine G"/>
        <family val="2"/>
        <charset val="1"/>
      </rPr>
      <t xml:space="preserve">$34,320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dealer invoice</t>
    </r>
    <r>
      <rPr>
        <sz val="11"/>
        <rFont val="Linux Libertine G"/>
        <family val="2"/>
      </rPr>
      <t xml:space="preserve">）；老车提价约 </t>
    </r>
    <r>
      <rPr>
        <sz val="11"/>
        <rFont val="Linux Libertine G"/>
        <family val="2"/>
        <charset val="1"/>
      </rPr>
      <t xml:space="preserve">10%</t>
    </r>
  </si>
  <si>
    <r>
      <rPr>
        <sz val="11"/>
        <rFont val="Linux Libertine G"/>
        <family val="2"/>
      </rPr>
      <t xml:space="preserve">销量增加；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单车变动成本 </t>
    </r>
    <r>
      <rPr>
        <sz val="11"/>
        <rFont val="Linux Libertine G"/>
        <family val="2"/>
        <charset val="1"/>
      </rPr>
      <t xml:space="preserve">$20,015</t>
    </r>
    <r>
      <rPr>
        <sz val="11"/>
        <rFont val="Linux Libertine G"/>
        <family val="2"/>
      </rPr>
      <t xml:space="preserve">；超产能费 </t>
    </r>
    <r>
      <rPr>
        <sz val="11"/>
        <rFont val="Linux Libertine G"/>
        <family val="2"/>
        <charset val="1"/>
      </rPr>
      <t xml:space="preserve">$400M → $450M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</si>
  <si>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单车毛利 </t>
    </r>
    <r>
      <rPr>
        <sz val="11"/>
        <rFont val="Linux Libertine G"/>
        <family val="2"/>
        <charset val="1"/>
      </rPr>
      <t xml:space="preserve">$14,305 </t>
    </r>
    <r>
      <rPr>
        <sz val="11"/>
        <rFont val="Linux Libertine G"/>
        <family val="2"/>
      </rPr>
      <t xml:space="preserve">拉高平均；老车提价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</si>
  <si>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广告 </t>
    </r>
    <r>
      <rPr>
        <sz val="11"/>
        <rFont val="Linux Libertine G"/>
        <family val="2"/>
        <charset val="1"/>
      </rPr>
      <t xml:space="preserve">$200M</t>
    </r>
    <r>
      <rPr>
        <sz val="11"/>
        <rFont val="Linux Libertine G"/>
        <family val="2"/>
      </rPr>
      <t xml:space="preserve">；企业广告 </t>
    </r>
    <r>
      <rPr>
        <sz val="11"/>
        <rFont val="Linux Libertine G"/>
        <family val="2"/>
        <charset val="1"/>
      </rPr>
      <t xml:space="preserve">$150M → $410M</t>
    </r>
  </si>
  <si>
    <r>
      <rPr>
        <sz val="11"/>
        <rFont val="Linux Libertine G"/>
        <family val="2"/>
        <charset val="1"/>
      </rPr>
      <t xml:space="preserve">Canyon $560M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 $488M</t>
    </r>
    <r>
      <rPr>
        <sz val="11"/>
        <rFont val="Linux Libertine G"/>
        <family val="2"/>
      </rPr>
      <t xml:space="preserve">、第 </t>
    </r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个中心 </t>
    </r>
    <r>
      <rPr>
        <sz val="11"/>
        <rFont val="Linux Libertine G"/>
        <family val="2"/>
        <charset val="1"/>
      </rPr>
      <t xml:space="preserve">$643M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$188M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$174M</t>
    </r>
    <r>
      <rPr>
        <sz val="11"/>
        <rFont val="Linux Libertine G"/>
        <family val="2"/>
      </rPr>
      <t xml:space="preserve">、技术 </t>
    </r>
    <r>
      <rPr>
        <sz val="11"/>
        <rFont val="Linux Libertine G"/>
        <family val="2"/>
        <charset val="1"/>
      </rPr>
      <t xml:space="preserve">$544M</t>
    </r>
  </si>
  <si>
    <r>
      <rPr>
        <sz val="11"/>
        <rFont val="Linux Libertine G"/>
        <family val="2"/>
      </rPr>
      <t xml:space="preserve">销量和经销商增加（</t>
    </r>
    <r>
      <rPr>
        <sz val="11"/>
        <rFont val="Linux Libertine G"/>
        <family val="2"/>
        <charset val="1"/>
      </rPr>
      <t xml:space="preserve">+48 </t>
    </r>
    <r>
      <rPr>
        <sz val="11"/>
        <rFont val="Linux Libertine G"/>
        <family val="2"/>
      </rPr>
      <t xml:space="preserve">家开业）；培训费 </t>
    </r>
    <r>
      <rPr>
        <sz val="11"/>
        <rFont val="Linux Libertine G"/>
        <family val="2"/>
        <charset val="1"/>
      </rPr>
      <t xml:space="preserve">$30M</t>
    </r>
  </si>
  <si>
    <r>
      <rPr>
        <sz val="11"/>
        <rFont val="Linux Libertine G"/>
        <family val="2"/>
      </rPr>
      <t xml:space="preserve">毛利多了约 </t>
    </r>
    <r>
      <rPr>
        <sz val="11"/>
        <rFont val="Linux Libertine G"/>
        <family val="2"/>
        <charset val="1"/>
      </rPr>
      <t xml:space="preserve">$11.1B</t>
    </r>
    <r>
      <rPr>
        <sz val="11"/>
        <rFont val="Linux Libertine G"/>
        <family val="2"/>
      </rPr>
      <t xml:space="preserve">，费用只多了约 </t>
    </r>
    <r>
      <rPr>
        <sz val="11"/>
        <rFont val="Linux Libertine G"/>
        <family val="2"/>
        <charset val="1"/>
      </rPr>
      <t xml:space="preserve">$1.5B</t>
    </r>
  </si>
  <si>
    <r>
      <rPr>
        <sz val="11"/>
        <rFont val="Linux Libertine G"/>
        <family val="2"/>
      </rPr>
      <t xml:space="preserve">利息（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，负数是收入）</t>
    </r>
  </si>
  <si>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利息收入 </t>
    </r>
    <r>
      <rPr>
        <sz val="11"/>
        <rFont val="Linux Libertine G"/>
        <family val="2"/>
        <charset val="1"/>
      </rPr>
      <t xml:space="preserve">$60M</t>
    </r>
  </si>
  <si>
    <r>
      <rPr>
        <sz val="11"/>
        <rFont val="Linux Libertine G"/>
        <family val="2"/>
      </rPr>
      <t xml:space="preserve">股数没变（</t>
    </r>
    <r>
      <rPr>
        <sz val="11"/>
        <rFont val="Linux Libertine G"/>
        <family val="2"/>
        <charset val="1"/>
      </rPr>
      <t xml:space="preserve">720M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</si>
  <si>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+9,695</t>
    </r>
    <r>
      <rPr>
        <sz val="11"/>
        <rFont val="Linux Libertine G"/>
        <family val="2"/>
      </rPr>
      <t xml:space="preserve">；扩产 −</t>
    </r>
    <r>
      <rPr>
        <sz val="11"/>
        <rFont val="Linux Libertine G"/>
        <family val="2"/>
        <charset val="1"/>
      </rPr>
      <t xml:space="preserve">5,394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retooling −1,269</t>
    </r>
    <r>
      <rPr>
        <sz val="11"/>
        <rFont val="Linux Libertine G"/>
        <family val="2"/>
      </rPr>
      <t xml:space="preserve">、买 </t>
    </r>
    <r>
      <rPr>
        <sz val="11"/>
        <rFont val="Linux Libertine G"/>
        <family val="2"/>
        <charset val="1"/>
      </rPr>
      <t xml:space="preserve">CD −2,000</t>
    </r>
    <r>
      <rPr>
        <sz val="11"/>
        <rFont val="Linux Libertine G"/>
        <family val="2"/>
      </rPr>
      <t xml:space="preserve">、分红 −</t>
    </r>
    <r>
      <rPr>
        <sz val="11"/>
        <rFont val="Linux Libertine G"/>
        <family val="2"/>
        <charset val="1"/>
      </rPr>
      <t xml:space="preserve">100</t>
    </r>
  </si>
  <si>
    <t xml:space="preserve">Canyon 65K</t>
  </si>
  <si>
    <r>
      <rPr>
        <sz val="11"/>
        <rFont val="Linux Libertine G"/>
        <family val="2"/>
      </rPr>
      <t xml:space="preserve">扩产 </t>
    </r>
    <r>
      <rPr>
        <sz val="11"/>
        <rFont val="Linux Libertine G"/>
        <family val="2"/>
        <charset val="1"/>
      </rPr>
      <t xml:space="preserve">+800K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起可用）</t>
    </r>
    <r>
      <rPr>
        <sz val="11"/>
        <rFont val="Linux Libertine G"/>
        <family val="2"/>
        <charset val="1"/>
      </rPr>
      <t xml:space="preserve">+ retooling</t>
    </r>
  </si>
  <si>
    <t xml:space="preserve">没有借钱</t>
  </si>
  <si>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$9,242M − </t>
    </r>
    <r>
      <rPr>
        <sz val="11"/>
        <rFont val="Linux Libertine G"/>
        <family val="2"/>
      </rPr>
      <t xml:space="preserve">分红 </t>
    </r>
    <r>
      <rPr>
        <sz val="11"/>
        <rFont val="Linux Libertine G"/>
        <family val="2"/>
        <charset val="1"/>
      </rPr>
      <t xml:space="preserve">$100M</t>
    </r>
    <r>
      <rPr>
        <sz val="11"/>
        <rFont val="Linux Libertine G"/>
        <family val="2"/>
      </rPr>
      <t xml:space="preserve">；没增发</t>
    </r>
  </si>
  <si>
    <r>
      <rPr>
        <sz val="11"/>
        <rFont val="Linux Libertine G"/>
        <family val="2"/>
      </rPr>
      <t xml:space="preserve">净利涨 </t>
    </r>
    <r>
      <rPr>
        <sz val="11"/>
        <rFont val="Linux Libertine G"/>
        <family val="2"/>
        <charset val="1"/>
      </rPr>
      <t xml:space="preserve">214%</t>
    </r>
    <r>
      <rPr>
        <sz val="11"/>
        <rFont val="Linux Libertine G"/>
        <family val="2"/>
      </rPr>
      <t xml:space="preserve">，权益只涨 </t>
    </r>
    <r>
      <rPr>
        <sz val="11"/>
        <rFont val="Linux Libertine G"/>
        <family val="2"/>
        <charset val="1"/>
      </rPr>
      <t xml:space="preserve">64%</t>
    </r>
  </si>
  <si>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倍多、负债为 </t>
    </r>
    <r>
      <rPr>
        <sz val="11"/>
        <rFont val="Linux Libertine G"/>
        <family val="2"/>
        <charset val="1"/>
      </rPr>
      <t xml:space="preserve">0</t>
    </r>
    <r>
      <rPr>
        <sz val="11"/>
        <rFont val="Linux Libertine G"/>
        <family val="2"/>
      </rPr>
      <t xml:space="preserve">、份额第一</t>
    </r>
  </si>
  <si>
    <t xml:space="preserve">全部来自股价上涨（没增发）</t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</si>
  <si>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上市、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升级、营销七家最多</t>
    </r>
  </si>
  <si>
    <r>
      <rPr>
        <sz val="11"/>
        <rFont val="Linux Libertine G"/>
        <family val="2"/>
      </rPr>
      <t xml:space="preserve">产能 </t>
    </r>
    <r>
      <rPr>
        <sz val="11"/>
        <rFont val="Linux Libertine G"/>
        <family val="2"/>
        <charset val="1"/>
      </rPr>
      <t xml:space="preserve">+50% + Canyon</t>
    </r>
  </si>
  <si>
    <r>
      <rPr>
        <sz val="11"/>
        <rFont val="Linux Libertine G"/>
        <family val="2"/>
      </rPr>
      <t xml:space="preserve">排 </t>
    </r>
    <r>
      <rPr>
        <sz val="11"/>
        <rFont val="Linux Libertine G"/>
        <family val="2"/>
        <charset val="1"/>
      </rPr>
      <t xml:space="preserve">880 + Flex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2F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3S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第一；缺货 </t>
    </r>
    <r>
      <rPr>
        <sz val="11"/>
        <rFont val="Linux Libertine G"/>
        <family val="2"/>
        <charset val="1"/>
      </rPr>
      <t xml:space="preserve">10–30%</t>
    </r>
  </si>
  <si>
    <t xml:space="preserve">$24,000 → $26,400</t>
  </si>
  <si>
    <r>
      <rPr>
        <sz val="11"/>
        <rFont val="Linux Libertine G"/>
        <family val="2"/>
      </rPr>
      <t xml:space="preserve">上市第一年；</t>
    </r>
    <r>
      <rPr>
        <sz val="11"/>
        <rFont val="Linux Libertine G"/>
        <family val="2"/>
        <charset val="1"/>
      </rPr>
      <t xml:space="preserve">5U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5L </t>
    </r>
    <r>
      <rPr>
        <sz val="11"/>
        <rFont val="Linux Libertine G"/>
        <family val="2"/>
      </rPr>
      <t xml:space="preserve">第一；压 </t>
    </r>
    <r>
      <rPr>
        <sz val="11"/>
        <rFont val="Linux Libertine G"/>
        <family val="2"/>
        <charset val="1"/>
      </rPr>
      <t xml:space="preserve">65K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</si>
  <si>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贡献（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</si>
  <si>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单车贡献 </t>
    </r>
    <r>
      <rPr>
        <sz val="11"/>
        <rFont val="Linux Libertine G"/>
        <family val="2"/>
        <charset val="1"/>
      </rPr>
      <t xml:space="preserve">$13,860</t>
    </r>
    <r>
      <rPr>
        <sz val="11"/>
        <rFont val="Linux Libertine G"/>
        <family val="2"/>
      </rPr>
      <t xml:space="preserve">，四款最高</t>
    </r>
  </si>
  <si>
    <r>
      <rPr>
        <sz val="11"/>
        <rFont val="Linux Libertine G"/>
        <family val="2"/>
      </rPr>
      <t xml:space="preserve">排产减少（</t>
    </r>
    <r>
      <rPr>
        <sz val="11"/>
        <rFont val="Linux Libertine G"/>
        <family val="2"/>
        <charset val="1"/>
      </rPr>
      <t xml:space="preserve">430 + Flex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买家被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接走</t>
    </r>
  </si>
  <si>
    <r>
      <rPr>
        <sz val="11"/>
        <rFont val="Linux Libertine G"/>
        <family val="2"/>
        <charset val="1"/>
      </rPr>
      <t xml:space="preserve">$24,000 → $25,500</t>
    </r>
    <r>
      <rPr>
        <sz val="11"/>
        <rFont val="Linux Libertine G"/>
        <family val="2"/>
      </rPr>
      <t xml:space="preserve">，贡献持平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</si>
  <si>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销量还多了</t>
    </r>
  </si>
  <si>
    <t xml:space="preserve">$13,900 → $15,290</t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</si>
  <si>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$9,695M − </t>
    </r>
    <r>
      <rPr>
        <sz val="11"/>
        <rFont val="Linux Libertine G"/>
        <family val="2"/>
      </rPr>
      <t xml:space="preserve">扩产和 </t>
    </r>
    <r>
      <rPr>
        <sz val="11"/>
        <rFont val="Linux Libertine G"/>
        <family val="2"/>
        <charset val="1"/>
      </rPr>
      <t xml:space="preserve">retooling $6,663M</t>
    </r>
    <r>
      <rPr>
        <sz val="11"/>
        <rFont val="Linux Libertine G"/>
        <family val="2"/>
      </rPr>
      <t xml:space="preserve">；第一次转正</t>
    </r>
  </si>
  <si>
    <r>
      <rPr>
        <b val="true"/>
        <sz val="11"/>
        <color rgb="FFFFFFFF"/>
        <rFont val="Linux Libertine G"/>
        <family val="2"/>
        <charset val="1"/>
      </rPr>
      <t xml:space="preserve">C. </t>
    </r>
    <r>
      <rPr>
        <b val="true"/>
        <sz val="11"/>
        <color rgb="FFFFFFFF"/>
        <rFont val="Linux Libertine G"/>
        <family val="2"/>
      </rPr>
      <t xml:space="preserve">七家对比（</t>
    </r>
    <r>
      <rPr>
        <b val="true"/>
        <sz val="11"/>
        <color rgb="FFFFFFFF"/>
        <rFont val="Linux Libertine G"/>
        <family val="2"/>
        <charset val="1"/>
      </rPr>
      <t xml:space="preserve">Year 3</t>
    </r>
    <r>
      <rPr>
        <b val="true"/>
        <sz val="11"/>
        <color rgb="FFFFFFFF"/>
        <rFont val="Linux Libertine G"/>
        <family val="2"/>
      </rPr>
      <t xml:space="preserve">）和为什么我们第一</t>
    </r>
  </si>
  <si>
    <r>
      <rPr>
        <sz val="11"/>
        <rFont val="Linux Libertine G"/>
        <family val="2"/>
      </rPr>
      <t xml:space="preserve">推出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 </t>
    </r>
    <r>
      <rPr>
        <sz val="11"/>
        <rFont val="Linux Libertine G"/>
        <family val="2"/>
        <charset val="1"/>
      </rPr>
      <t xml:space="preserve">Axiom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$25,999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3U </t>
    </r>
    <r>
      <rPr>
        <sz val="11"/>
        <rFont val="Linux Libertine G"/>
        <family val="2"/>
      </rPr>
      <t xml:space="preserve">第一）；升级 </t>
    </r>
    <r>
      <rPr>
        <sz val="11"/>
        <rFont val="Linux Libertine G"/>
        <family val="2"/>
        <charset val="1"/>
      </rPr>
      <t xml:space="preserve">Ace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86 </t>
    </r>
    <r>
      <rPr>
        <sz val="11"/>
        <rFont val="Linux Libertine G"/>
        <family val="2"/>
      </rPr>
      <t xml:space="preserve">天库存</t>
    </r>
  </si>
  <si>
    <r>
      <rPr>
        <sz val="11"/>
        <rFont val="Linux Libertine G"/>
        <family val="2"/>
      </rPr>
      <t xml:space="preserve">又升级 </t>
    </r>
    <r>
      <rPr>
        <sz val="11"/>
        <rFont val="Linux Libertine G"/>
        <family val="2"/>
        <charset val="1"/>
      </rPr>
      <t xml:space="preserve">Buzzy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Boffo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Boss </t>
    </r>
    <r>
      <rPr>
        <sz val="11"/>
        <rFont val="Linux Libertine G"/>
        <family val="2"/>
      </rPr>
      <t xml:space="preserve">三款；累计净利第 </t>
    </r>
    <r>
      <rPr>
        <sz val="11"/>
        <rFont val="Linux Libertine G"/>
        <family val="2"/>
        <charset val="1"/>
      </rPr>
      <t xml:space="preserve">2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</si>
  <si>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上市、</t>
    </r>
    <r>
      <rPr>
        <sz val="11"/>
        <rFont val="Linux Libertine G"/>
        <family val="2"/>
        <charset val="1"/>
      </rPr>
      <t xml:space="preserve">Crash minor</t>
    </r>
    <r>
      <rPr>
        <sz val="11"/>
        <rFont val="Linux Libertine G"/>
        <family val="2"/>
      </rPr>
      <t xml:space="preserve">；第 </t>
    </r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个研发中心；扩产 </t>
    </r>
    <r>
      <rPr>
        <sz val="11"/>
        <rFont val="Linux Libertine G"/>
        <family val="2"/>
        <charset val="1"/>
      </rPr>
      <t xml:space="preserve">+800K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起）；买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</si>
  <si>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Linux Libertine G"/>
        <family val="2"/>
      </rPr>
      <t xml:space="preserve">没有新车或升级；宣布要做 </t>
    </r>
    <r>
      <rPr>
        <sz val="11"/>
        <rFont val="Linux Libertine G"/>
        <family val="2"/>
        <charset val="1"/>
      </rPr>
      <t xml:space="preserve">Utility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88 </t>
    </r>
    <r>
      <rPr>
        <sz val="11"/>
        <rFont val="Linux Libertine G"/>
        <family val="2"/>
      </rPr>
      <t xml:space="preserve">天库存，负债最高</t>
    </r>
  </si>
  <si>
    <r>
      <rPr>
        <sz val="11"/>
        <rFont val="Linux Libertine G"/>
        <family val="2"/>
      </rPr>
      <t xml:space="preserve">推出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 </t>
    </r>
    <r>
      <rPr>
        <sz val="11"/>
        <rFont val="Linux Libertine G"/>
        <family val="2"/>
        <charset val="1"/>
      </rPr>
      <t xml:space="preserve">Elan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$28,000</t>
    </r>
    <r>
      <rPr>
        <sz val="11"/>
        <rFont val="Linux Libertine G"/>
        <family val="2"/>
      </rPr>
      <t xml:space="preserve">）；升级 </t>
    </r>
    <r>
      <rPr>
        <sz val="11"/>
        <rFont val="Linux Libertine G"/>
        <family val="2"/>
        <charset val="1"/>
      </rPr>
      <t xml:space="preserve">Efizz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Egad</t>
    </r>
  </si>
  <si>
    <r>
      <rPr>
        <sz val="11"/>
        <rFont val="Linux Libertine G"/>
        <family val="2"/>
      </rPr>
      <t xml:space="preserve">推出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 </t>
    </r>
    <r>
      <rPr>
        <sz val="11"/>
        <rFont val="Linux Libertine G"/>
        <family val="2"/>
        <charset val="1"/>
      </rPr>
      <t xml:space="preserve">Futura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$35,000</t>
    </r>
    <r>
      <rPr>
        <sz val="11"/>
        <rFont val="Linux Libertine G"/>
        <family val="2"/>
      </rPr>
      <t xml:space="preserve">）；升级 </t>
    </r>
    <r>
      <rPr>
        <sz val="11"/>
        <rFont val="Linux Libertine G"/>
        <family val="2"/>
        <charset val="1"/>
      </rPr>
      <t xml:space="preserve">Fantasy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Fast</t>
    </r>
    <r>
      <rPr>
        <sz val="11"/>
        <rFont val="Linux Libertine G"/>
        <family val="2"/>
      </rPr>
      <t xml:space="preserve">；营销第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多</t>
    </r>
  </si>
  <si>
    <r>
      <rPr>
        <sz val="11"/>
        <rFont val="Linux Libertine G"/>
        <family val="2"/>
      </rPr>
      <t xml:space="preserve">建新研发中心；今年没有新车或升级；</t>
    </r>
    <r>
      <rPr>
        <sz val="11"/>
        <rFont val="Linux Libertine G"/>
        <family val="2"/>
        <charset val="1"/>
      </rPr>
      <t xml:space="preserve">44 </t>
    </r>
    <r>
      <rPr>
        <sz val="11"/>
        <rFont val="Linux Libertine G"/>
        <family val="2"/>
      </rPr>
      <t xml:space="preserve">天库存</t>
    </r>
  </si>
  <si>
    <r>
      <rPr>
        <sz val="11"/>
        <rFont val="Linux Libertine G"/>
        <family val="2"/>
      </rPr>
      <t xml:space="preserve">① 毛利率 </t>
    </r>
    <r>
      <rPr>
        <sz val="11"/>
        <rFont val="Linux Libertine G"/>
        <family val="2"/>
        <charset val="1"/>
      </rPr>
      <t xml:space="preserve">33.2%</t>
    </r>
    <r>
      <rPr>
        <sz val="11"/>
        <rFont val="Linux Libertine G"/>
        <family val="2"/>
      </rPr>
      <t xml:space="preserve">，比第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名 </t>
    </r>
    <r>
      <rPr>
        <sz val="11"/>
        <rFont val="Linux Libertine G"/>
        <family val="2"/>
        <charset val="1"/>
      </rPr>
      <t xml:space="preserve">F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26.0%</t>
    </r>
    <r>
      <rPr>
        <sz val="11"/>
        <rFont val="Linux Libertine G"/>
        <family val="2"/>
      </rPr>
      <t xml:space="preserve">）高 </t>
    </r>
    <r>
      <rPr>
        <sz val="11"/>
        <rFont val="Linux Libertine G"/>
        <family val="2"/>
        <charset val="1"/>
      </rPr>
      <t xml:space="preserve">7 </t>
    </r>
    <r>
      <rPr>
        <sz val="11"/>
        <rFont val="Linux Libertine G"/>
        <family val="2"/>
      </rPr>
      <t xml:space="preserve">点：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单车毛利 </t>
    </r>
    <r>
      <rPr>
        <sz val="11"/>
        <rFont val="Linux Libertine G"/>
        <family val="2"/>
        <charset val="1"/>
      </rPr>
      <t xml:space="preserve">$14,305</t>
    </r>
    <r>
      <rPr>
        <sz val="11"/>
        <rFont val="Linux Libertine G"/>
        <family val="2"/>
      </rPr>
      <t xml:space="preserve">，三款老车提价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还缺货；② 规模最大：卖 </t>
    </r>
    <r>
      <rPr>
        <sz val="11"/>
        <rFont val="Linux Libertine G"/>
        <family val="2"/>
        <charset val="1"/>
      </rPr>
      <t xml:space="preserve">2,400K</t>
    </r>
    <r>
      <rPr>
        <sz val="11"/>
        <rFont val="Linux Libertine G"/>
        <family val="2"/>
      </rPr>
      <t xml:space="preserve">（第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名 </t>
    </r>
    <r>
      <rPr>
        <sz val="11"/>
        <rFont val="Linux Libertine G"/>
        <family val="2"/>
        <charset val="1"/>
      </rPr>
      <t xml:space="preserve">B 1,650K</t>
    </r>
    <r>
      <rPr>
        <sz val="11"/>
        <rFont val="Linux Libertine G"/>
        <family val="2"/>
      </rPr>
      <t xml:space="preserve">）；③ 没有负债，不付利息；④ 偏好度第 </t>
    </r>
    <r>
      <rPr>
        <sz val="11"/>
        <rFont val="Linux Libertine G"/>
        <family val="2"/>
        <charset val="1"/>
      </rPr>
      <t xml:space="preserve">1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22.5%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</si>
  <si>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为什么第二</t>
    </r>
  </si>
  <si>
    <r>
      <rPr>
        <sz val="11"/>
        <rFont val="Linux Libertine G"/>
        <family val="2"/>
      </rPr>
      <t xml:space="preserve">一年推出 </t>
    </r>
    <r>
      <rPr>
        <sz val="11"/>
        <rFont val="Linux Libertine G"/>
        <family val="2"/>
        <charset val="1"/>
      </rPr>
      <t xml:space="preserve">Futura </t>
    </r>
    <r>
      <rPr>
        <sz val="11"/>
        <rFont val="Linux Libertine G"/>
        <family val="2"/>
      </rPr>
      <t xml:space="preserve">又升级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款，营销 </t>
    </r>
    <r>
      <rPr>
        <sz val="11"/>
        <rFont val="Linux Libertine G"/>
        <family val="2"/>
        <charset val="1"/>
      </rPr>
      <t xml:space="preserve">$910M</t>
    </r>
    <r>
      <rPr>
        <sz val="11"/>
        <rFont val="Linux Libertine G"/>
        <family val="2"/>
      </rPr>
      <t xml:space="preserve">，偏好度 </t>
    </r>
    <r>
      <rPr>
        <sz val="11"/>
        <rFont val="Linux Libertine G"/>
        <family val="2"/>
        <charset val="1"/>
      </rPr>
      <t xml:space="preserve">21.1% </t>
    </r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2</t>
    </r>
    <r>
      <rPr>
        <sz val="11"/>
        <rFont val="Linux Libertine G"/>
        <family val="2"/>
      </rPr>
      <t xml:space="preserve">；毛利率 </t>
    </r>
    <r>
      <rPr>
        <sz val="11"/>
        <rFont val="Linux Libertine G"/>
        <family val="2"/>
        <charset val="1"/>
      </rPr>
      <t xml:space="preserve">26.0% </t>
    </r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2</t>
    </r>
    <r>
      <rPr>
        <sz val="11"/>
        <rFont val="Linux Libertine G"/>
        <family val="2"/>
      </rPr>
      <t xml:space="preserve">；市值 </t>
    </r>
    <r>
      <rPr>
        <sz val="11"/>
        <rFont val="Linux Libertine G"/>
        <family val="2"/>
        <charset val="1"/>
      </rPr>
      <t xml:space="preserve">$36.0B </t>
    </r>
    <r>
      <rPr>
        <sz val="11"/>
        <rFont val="Linux Libertine G"/>
        <family val="2"/>
      </rPr>
      <t xml:space="preserve">比 </t>
    </r>
    <r>
      <rPr>
        <sz val="11"/>
        <rFont val="Linux Libertine G"/>
        <family val="2"/>
        <charset val="1"/>
      </rPr>
      <t xml:space="preserve">B </t>
    </r>
    <r>
      <rPr>
        <sz val="11"/>
        <rFont val="Linux Libertine G"/>
        <family val="2"/>
      </rPr>
      <t xml:space="preserve">高，所以总分略高于 </t>
    </r>
    <r>
      <rPr>
        <sz val="11"/>
        <rFont val="Linux Libertine G"/>
        <family val="2"/>
        <charset val="1"/>
      </rPr>
      <t xml:space="preserve">B</t>
    </r>
  </si>
  <si>
    <r>
      <rPr>
        <sz val="11"/>
        <rFont val="Linux Libertine G"/>
        <family val="2"/>
      </rPr>
      <t xml:space="preserve">连续两年一次升级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款车（研发只花 </t>
    </r>
    <r>
      <rPr>
        <sz val="11"/>
        <rFont val="Linux Libertine G"/>
        <family val="2"/>
        <charset val="1"/>
      </rPr>
      <t xml:space="preserve">$606M</t>
    </r>
    <r>
      <rPr>
        <sz val="11"/>
        <rFont val="Linux Libertine G"/>
        <family val="2"/>
      </rPr>
      <t xml:space="preserve">），没压库存；累计净利 </t>
    </r>
    <r>
      <rPr>
        <sz val="11"/>
        <rFont val="Linux Libertine G"/>
        <family val="2"/>
        <charset val="1"/>
      </rPr>
      <t xml:space="preserve">$7,210M </t>
    </r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2</t>
    </r>
  </si>
  <si>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的问题</t>
    </r>
  </si>
  <si>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压了 </t>
    </r>
    <r>
      <rPr>
        <sz val="11"/>
        <rFont val="Linux Libertine G"/>
        <family val="2"/>
        <charset val="1"/>
      </rPr>
      <t xml:space="preserve">86–88 </t>
    </r>
    <r>
      <rPr>
        <sz val="11"/>
        <rFont val="Linux Libertine G"/>
        <family val="2"/>
      </rPr>
      <t xml:space="preserve">天库存（</t>
    </r>
    <r>
      <rPr>
        <sz val="11"/>
        <rFont val="Linux Libertine G"/>
        <family val="2"/>
        <charset val="1"/>
      </rPr>
      <t xml:space="preserve">286K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284K</t>
    </r>
    <r>
      <rPr>
        <sz val="11"/>
        <rFont val="Linux Libertine G"/>
        <family val="2"/>
      </rPr>
      <t xml:space="preserve">），负债 </t>
    </r>
    <r>
      <rPr>
        <sz val="11"/>
        <rFont val="Linux Libertine G"/>
        <family val="2"/>
        <charset val="1"/>
      </rPr>
      <t xml:space="preserve">$5.9B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$7.7B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研发 </t>
    </r>
    <r>
      <rPr>
        <sz val="11"/>
        <rFont val="Linux Libertine G"/>
        <family val="2"/>
        <charset val="1"/>
      </rPr>
      <t xml:space="preserve">$1,869M </t>
    </r>
    <r>
      <rPr>
        <sz val="11"/>
        <rFont val="Linux Libertine G"/>
        <family val="2"/>
      </rPr>
      <t xml:space="preserve">却没有新车或升级，净利只有 </t>
    </r>
    <r>
      <rPr>
        <sz val="11"/>
        <rFont val="Linux Libertine G"/>
        <family val="2"/>
        <charset val="1"/>
      </rPr>
      <t xml:space="preserve">$612M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</si>
  <si>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首年排产太多</t>
    </r>
  </si>
  <si>
    <r>
      <rPr>
        <sz val="11"/>
        <rFont val="Linux Libertine G"/>
        <family val="2"/>
      </rPr>
      <t xml:space="preserve">推断 </t>
    </r>
    <r>
      <rPr>
        <sz val="11"/>
        <rFont val="Linux Libertine G"/>
        <family val="2"/>
        <charset val="1"/>
      </rPr>
      <t xml:space="preserve">680K</t>
    </r>
    <r>
      <rPr>
        <sz val="11"/>
        <rFont val="Linux Libertine G"/>
        <family val="2"/>
      </rPr>
      <t xml:space="preserve">、排 </t>
    </r>
    <r>
      <rPr>
        <sz val="11"/>
        <rFont val="Linux Libertine G"/>
        <family val="2"/>
        <charset val="1"/>
      </rPr>
      <t xml:space="preserve">650K</t>
    </r>
    <r>
      <rPr>
        <sz val="11"/>
        <rFont val="Linux Libertine G"/>
        <family val="2"/>
      </rPr>
      <t xml:space="preserve">，实际卖 </t>
    </r>
    <r>
      <rPr>
        <sz val="11"/>
        <rFont val="Linux Libertine G"/>
        <family val="2"/>
        <charset val="1"/>
      </rPr>
      <t xml:space="preserve">585K</t>
    </r>
    <r>
      <rPr>
        <sz val="11"/>
        <rFont val="Linux Libertine G"/>
        <family val="2"/>
      </rPr>
      <t xml:space="preserve">，压 </t>
    </r>
    <r>
      <rPr>
        <sz val="11"/>
        <rFont val="Linux Libertine G"/>
        <family val="2"/>
        <charset val="1"/>
      </rPr>
      <t xml:space="preserve">65K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$1.37B </t>
    </r>
    <r>
      <rPr>
        <sz val="11"/>
        <rFont val="Linux Libertine G"/>
        <family val="2"/>
      </rPr>
      <t xml:space="preserve">现金）；</t>
    </r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同年就上了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</si>
  <si>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</rPr>
      <t xml:space="preserve">新车首年按推断量的 </t>
    </r>
    <r>
      <rPr>
        <sz val="11"/>
        <rFont val="Linux Libertine G"/>
        <family val="2"/>
        <charset val="1"/>
      </rPr>
      <t xml:space="preserve">85–90% </t>
    </r>
    <r>
      <rPr>
        <sz val="11"/>
        <rFont val="Linux Libertine G"/>
        <family val="2"/>
      </rPr>
      <t xml:space="preserve">排产；已宣布做同类车的对手，按“当年就会上市”来算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</si>
  <si>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没有替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减产</t>
    </r>
  </si>
  <si>
    <r>
      <rPr>
        <sz val="11"/>
        <rFont val="Linux Libertine G"/>
        <family val="2"/>
      </rPr>
      <t xml:space="preserve">产 </t>
    </r>
    <r>
      <rPr>
        <sz val="11"/>
        <rFont val="Linux Libertine G"/>
        <family val="2"/>
        <charset val="1"/>
      </rPr>
      <t xml:space="preserve">650K = </t>
    </r>
    <r>
      <rPr>
        <sz val="11"/>
        <rFont val="Linux Libertine G"/>
        <family val="2"/>
      </rPr>
      <t xml:space="preserve">排产，卖 </t>
    </r>
    <r>
      <rPr>
        <sz val="11"/>
        <rFont val="Linux Libertine G"/>
        <family val="2"/>
        <charset val="1"/>
      </rPr>
      <t xml:space="preserve">585K</t>
    </r>
  </si>
  <si>
    <r>
      <rPr>
        <sz val="11"/>
        <rFont val="Linux Libertine G"/>
        <family val="2"/>
      </rPr>
      <t xml:space="preserve">不靠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防库存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推断：至少新车上市当年如此</t>
    </r>
    <r>
      <rPr>
        <sz val="11"/>
        <rFont val="Linux Libertine G"/>
        <family val="2"/>
        <charset val="1"/>
      </rPr>
      <t xml:space="preserve">]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Y4 Canyon </t>
    </r>
    <r>
      <rPr>
        <sz val="11"/>
        <rFont val="Linux Libertine G"/>
        <family val="2"/>
      </rPr>
      <t xml:space="preserve">排产先扣 </t>
    </r>
    <r>
      <rPr>
        <sz val="11"/>
        <rFont val="Linux Libertine G"/>
        <family val="2"/>
        <charset val="1"/>
      </rPr>
      <t xml:space="preserve">65K </t>
    </r>
    <r>
      <rPr>
        <sz val="11"/>
        <rFont val="Linux Libertine G"/>
        <family val="2"/>
      </rPr>
      <t xml:space="preserve">库存</t>
    </r>
  </si>
  <si>
    <t xml:space="preserve">三款老车又定低了</t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</si>
  <si>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6–10% </t>
    </r>
    <r>
      <rPr>
        <sz val="11"/>
        <rFont val="Linux Libertine G"/>
        <family val="2"/>
      </rPr>
      <t xml:space="preserve">后仍缺货 </t>
    </r>
    <r>
      <rPr>
        <sz val="11"/>
        <rFont val="Linux Libertine G"/>
        <family val="2"/>
        <charset val="1"/>
      </rPr>
      <t xml:space="preserve">10–30%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</si>
  <si>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继续往上测价格</t>
    </r>
  </si>
  <si>
    <r>
      <rPr>
        <sz val="11"/>
        <rFont val="Linux Libertine G"/>
        <family val="2"/>
      </rPr>
      <t xml:space="preserve">超产到 </t>
    </r>
    <r>
      <rPr>
        <sz val="11"/>
        <rFont val="Linux Libertine G"/>
        <family val="2"/>
        <charset val="1"/>
      </rPr>
      <t xml:space="preserve">110%</t>
    </r>
  </si>
  <si>
    <r>
      <rPr>
        <sz val="11"/>
        <rFont val="Linux Libertine G"/>
        <family val="2"/>
      </rPr>
      <t xml:space="preserve">超产能费 </t>
    </r>
    <r>
      <rPr>
        <sz val="11"/>
        <rFont val="Linux Libertine G"/>
        <family val="2"/>
        <charset val="1"/>
      </rPr>
      <t xml:space="preserve">$450M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</si>
  <si>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产能 </t>
    </r>
    <r>
      <rPr>
        <sz val="11"/>
        <rFont val="Linux Libertine G"/>
        <family val="2"/>
        <charset val="1"/>
      </rPr>
      <t xml:space="preserve">3,050K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+800K </t>
    </r>
    <r>
      <rPr>
        <sz val="11"/>
        <rFont val="Linux Libertine G"/>
        <family val="2"/>
      </rPr>
      <t xml:space="preserve">到位），利用率会降</t>
    </r>
  </si>
  <si>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变挤了</t>
    </r>
  </si>
  <si>
    <r>
      <rPr>
        <sz val="11"/>
        <rFont val="Linux Libertine G"/>
        <family val="2"/>
      </rPr>
      <t xml:space="preserve">对手三款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$26–35K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也宣布要做；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全年 −</t>
    </r>
    <r>
      <rPr>
        <sz val="11"/>
        <rFont val="Linux Libertine G"/>
        <family val="2"/>
        <charset val="1"/>
      </rPr>
      <t xml:space="preserve">18%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</si>
  <si>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保持配置领先（</t>
    </r>
    <r>
      <rPr>
        <sz val="11"/>
        <rFont val="Linux Libertine G"/>
        <family val="2"/>
        <charset val="1"/>
      </rPr>
      <t xml:space="preserve">Styling 7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Q5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Y4 Test Market </t>
    </r>
    <r>
      <rPr>
        <sz val="11"/>
        <rFont val="Linux Libertine G"/>
        <family val="2"/>
      </rPr>
      <t xml:space="preserve">测 </t>
    </r>
    <r>
      <rPr>
        <sz val="11"/>
        <rFont val="Linux Libertine G"/>
        <family val="2"/>
        <charset val="1"/>
      </rPr>
      <t xml:space="preserve">$36–39K</t>
    </r>
  </si>
  <si>
    <t xml:space="preserve">+79.8%</t>
  </si>
  <si>
    <t xml:space="preserve">25.5% → 33.2%</t>
  </si>
  <si>
    <t xml:space="preserve">9.1% → 15.8%</t>
  </si>
  <si>
    <r>
      <rPr>
        <sz val="11"/>
        <rFont val="Linux Libertine G"/>
        <family val="2"/>
        <charset val="1"/>
      </rPr>
      <t xml:space="preserve">−$1,753M → +$3,032M</t>
    </r>
    <r>
      <rPr>
        <sz val="11"/>
        <rFont val="Linux Libertine G"/>
        <family val="2"/>
      </rPr>
      <t xml:space="preserve">（第一次转正）</t>
    </r>
  </si>
  <si>
    <t xml:space="preserve">20.5% → 39.3%</t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</si>
  <si>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Year 4 </t>
    </r>
    <r>
      <rPr>
        <b val="true"/>
        <sz val="14"/>
        <rFont val="Linux Libertine G"/>
        <family val="2"/>
      </rPr>
      <t xml:space="preserve">结果复盘（</t>
    </r>
    <r>
      <rPr>
        <b val="true"/>
        <sz val="14"/>
        <rFont val="Linux Libertine G"/>
        <family val="2"/>
        <charset val="1"/>
      </rPr>
      <t xml:space="preserve">10/27 </t>
    </r>
    <r>
      <rPr>
        <b val="true"/>
        <sz val="14"/>
        <rFont val="Linux Libertine G"/>
        <family val="2"/>
      </rPr>
      <t xml:space="preserve">出结果）</t>
    </r>
  </si>
  <si>
    <r>
      <rPr>
        <i val="true"/>
        <sz val="11"/>
        <color rgb="FF595959"/>
        <rFont val="Linux Libertine G"/>
        <family val="2"/>
      </rPr>
      <t xml:space="preserve">还是七家第 </t>
    </r>
    <r>
      <rPr>
        <i val="true"/>
        <sz val="11"/>
        <color rgb="FF595959"/>
        <rFont val="Linux Libertine G"/>
        <family val="2"/>
        <charset val="1"/>
      </rPr>
      <t xml:space="preserve">1</t>
    </r>
    <r>
      <rPr>
        <i val="true"/>
        <sz val="11"/>
        <color rgb="FF595959"/>
        <rFont val="Linux Libertine G"/>
        <family val="2"/>
      </rPr>
      <t xml:space="preserve">：</t>
    </r>
    <r>
      <rPr>
        <i val="true"/>
        <sz val="11"/>
        <color rgb="FF595959"/>
        <rFont val="Linux Libertine G"/>
        <family val="2"/>
        <charset val="1"/>
      </rPr>
      <t xml:space="preserve">Weighted Score 98.2</t>
    </r>
    <r>
      <rPr>
        <i val="true"/>
        <sz val="11"/>
        <color rgb="FF595959"/>
        <rFont val="Linux Libertine G"/>
        <family val="2"/>
      </rPr>
      <t xml:space="preserve">（第 </t>
    </r>
    <r>
      <rPr>
        <i val="true"/>
        <sz val="11"/>
        <color rgb="FF595959"/>
        <rFont val="Linux Libertine G"/>
        <family val="2"/>
        <charset val="1"/>
      </rPr>
      <t xml:space="preserve">2 </t>
    </r>
    <r>
      <rPr>
        <i val="true"/>
        <sz val="11"/>
        <color rgb="FF595959"/>
        <rFont val="Linux Libertine G"/>
        <family val="2"/>
      </rPr>
      <t xml:space="preserve">名 </t>
    </r>
    <r>
      <rPr>
        <i val="true"/>
        <sz val="11"/>
        <color rgb="FF595959"/>
        <rFont val="Linux Libertine G"/>
        <family val="2"/>
        <charset val="1"/>
      </rPr>
      <t xml:space="preserve">F </t>
    </r>
    <r>
      <rPr>
        <i val="true"/>
        <sz val="11"/>
        <color rgb="FF595959"/>
        <rFont val="Linux Libertine G"/>
        <family val="2"/>
      </rPr>
      <t xml:space="preserve">从 </t>
    </r>
    <r>
      <rPr>
        <i val="true"/>
        <sz val="11"/>
        <color rgb="FF595959"/>
        <rFont val="Linux Libertine G"/>
        <family val="2"/>
        <charset val="1"/>
      </rPr>
      <t xml:space="preserve">79.0 </t>
    </r>
    <r>
      <rPr>
        <i val="true"/>
        <sz val="11"/>
        <color rgb="FF595959"/>
        <rFont val="Linux Libertine G"/>
        <family val="2"/>
      </rPr>
      <t xml:space="preserve">升到 </t>
    </r>
    <r>
      <rPr>
        <i val="true"/>
        <sz val="11"/>
        <color rgb="FF595959"/>
        <rFont val="Linux Libertine G"/>
        <family val="2"/>
        <charset val="1"/>
      </rPr>
      <t xml:space="preserve">83.6</t>
    </r>
    <r>
      <rPr>
        <i val="true"/>
        <sz val="11"/>
        <color rgb="FF595959"/>
        <rFont val="Linux Libertine G"/>
        <family val="2"/>
      </rPr>
      <t xml:space="preserve">，差距从 </t>
    </r>
    <r>
      <rPr>
        <i val="true"/>
        <sz val="11"/>
        <color rgb="FF595959"/>
        <rFont val="Linux Libertine G"/>
        <family val="2"/>
        <charset val="1"/>
      </rPr>
      <t xml:space="preserve">19.2 </t>
    </r>
    <r>
      <rPr>
        <i val="true"/>
        <sz val="11"/>
        <color rgb="FF595959"/>
        <rFont val="Linux Libertine G"/>
        <family val="2"/>
      </rPr>
      <t xml:space="preserve">分缩小到 </t>
    </r>
    <r>
      <rPr>
        <i val="true"/>
        <sz val="11"/>
        <color rgb="FF595959"/>
        <rFont val="Linux Libertine G"/>
        <family val="2"/>
        <charset val="1"/>
      </rPr>
      <t xml:space="preserve">14.6 </t>
    </r>
    <r>
      <rPr>
        <i val="true"/>
        <sz val="11"/>
        <color rgb="FF595959"/>
        <rFont val="Linux Libertine G"/>
        <family val="2"/>
      </rPr>
      <t xml:space="preserve">分）；净利 </t>
    </r>
    <r>
      <rPr>
        <i val="true"/>
        <sz val="11"/>
        <color rgb="FF595959"/>
        <rFont val="Linux Libertine G"/>
        <family val="2"/>
        <charset val="1"/>
      </rPr>
      <t xml:space="preserve">$15,578M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Linux Libertine G"/>
        <family val="2"/>
        <charset val="1"/>
      </rPr>
      <t xml:space="preserve">F $6,401M</t>
    </r>
    <r>
      <rPr>
        <i val="true"/>
        <sz val="11"/>
        <color rgb="FF595959"/>
        <rFont val="Linux Libertine G"/>
        <family val="2"/>
      </rPr>
      <t xml:space="preserve">）；累计净利 </t>
    </r>
    <r>
      <rPr>
        <i val="true"/>
        <sz val="11"/>
        <color rgb="FF595959"/>
        <rFont val="Linux Libertine G"/>
        <family val="2"/>
        <charset val="1"/>
      </rPr>
      <t xml:space="preserve">$30,284M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Linux Libertine G"/>
        <family val="2"/>
        <charset val="1"/>
      </rPr>
      <t xml:space="preserve">F $13,456M</t>
    </r>
    <r>
      <rPr>
        <i val="true"/>
        <sz val="11"/>
        <color rgb="FF595959"/>
        <rFont val="Linux Libertine G"/>
        <family val="2"/>
      </rPr>
      <t xml:space="preserve">）；市值 </t>
    </r>
    <r>
      <rPr>
        <i val="true"/>
        <sz val="11"/>
        <color rgb="FF595959"/>
        <rFont val="Linux Libertine G"/>
        <family val="2"/>
        <charset val="1"/>
      </rPr>
      <t xml:space="preserve">$112.9B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Linux Libertine G"/>
        <family val="2"/>
        <charset val="1"/>
      </rPr>
      <t xml:space="preserve">F $59.0B</t>
    </r>
    <r>
      <rPr>
        <i val="true"/>
        <sz val="11"/>
        <color rgb="FF595959"/>
        <rFont val="Linux Libertine G"/>
        <family val="2"/>
      </rPr>
      <t xml:space="preserve">）；销量份额 </t>
    </r>
    <r>
      <rPr>
        <i val="true"/>
        <sz val="11"/>
        <color rgb="FF595959"/>
        <rFont val="Linux Libertine G"/>
        <family val="2"/>
        <charset val="1"/>
      </rPr>
      <t xml:space="preserve">24.3%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Firm Preference 25.7%</t>
    </r>
    <r>
      <rPr>
        <i val="true"/>
        <sz val="11"/>
        <color rgb="FF595959"/>
        <rFont val="Linux Libertine G"/>
        <family val="2"/>
      </rPr>
      <t xml:space="preserve">，都是第 </t>
    </r>
    <r>
      <rPr>
        <i val="true"/>
        <sz val="11"/>
        <color rgb="FF595959"/>
        <rFont val="Linux Libertine G"/>
        <family val="2"/>
        <charset val="1"/>
      </rPr>
      <t xml:space="preserve">1</t>
    </r>
    <r>
      <rPr>
        <i val="true"/>
        <sz val="11"/>
        <color rgb="FF595959"/>
        <rFont val="Linux Libertine G"/>
        <family val="2"/>
      </rPr>
      <t xml:space="preserve">。净利增速从 </t>
    </r>
    <r>
      <rPr>
        <i val="true"/>
        <sz val="11"/>
        <color rgb="FF595959"/>
        <rFont val="Linux Libertine G"/>
        <family val="2"/>
        <charset val="1"/>
      </rPr>
      <t xml:space="preserve">+214% </t>
    </r>
    <r>
      <rPr>
        <i val="true"/>
        <sz val="11"/>
        <color rgb="FF595959"/>
        <rFont val="Linux Libertine G"/>
        <family val="2"/>
      </rPr>
      <t xml:space="preserve">降到 </t>
    </r>
    <r>
      <rPr>
        <i val="true"/>
        <sz val="11"/>
        <color rgb="FF595959"/>
        <rFont val="Linux Libertine G"/>
        <family val="2"/>
        <charset val="1"/>
      </rPr>
      <t xml:space="preserve">+69%</t>
    </r>
    <r>
      <rPr>
        <i val="true"/>
        <sz val="11"/>
        <color rgb="FF595959"/>
        <rFont val="Linux Libertine G"/>
        <family val="2"/>
      </rPr>
      <t xml:space="preserve">，但增加的绝对额差不多（</t>
    </r>
    <r>
      <rPr>
        <i val="true"/>
        <sz val="11"/>
        <color rgb="FF595959"/>
        <rFont val="Linux Libertine G"/>
        <family val="2"/>
        <charset val="1"/>
      </rPr>
      <t xml:space="preserve">+$6.30B → +$6.34B</t>
    </r>
    <r>
      <rPr>
        <i val="true"/>
        <sz val="11"/>
        <color rgb="FF595959"/>
        <rFont val="Linux Libertine G"/>
        <family val="2"/>
      </rPr>
      <t xml:space="preserve">）。</t>
    </r>
  </si>
  <si>
    <r>
      <rPr>
        <sz val="11"/>
        <rFont val="Linux Libertine G"/>
        <family val="2"/>
      </rPr>
      <t xml:space="preserve">排 </t>
    </r>
    <r>
      <rPr>
        <sz val="11"/>
        <rFont val="Linux Libertine G"/>
        <family val="2"/>
        <charset val="1"/>
      </rPr>
      <t xml:space="preserve">1,150K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Test Market 9.1% </t>
    </r>
    <r>
      <rPr>
        <sz val="11"/>
        <rFont val="Linux Libertine G"/>
        <family val="2"/>
      </rPr>
      <t xml:space="preserve">再多排 </t>
    </r>
    <r>
      <rPr>
        <sz val="11"/>
        <rFont val="Linux Libertine G"/>
        <family val="2"/>
        <charset val="1"/>
      </rPr>
      <t xml:space="preserve">100K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</si>
  <si>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只卖了 </t>
    </r>
    <r>
      <rPr>
        <sz val="11"/>
        <rFont val="Linux Libertine G"/>
        <family val="2"/>
        <charset val="1"/>
      </rPr>
      <t xml:space="preserve">1,094K</t>
    </r>
    <r>
      <rPr>
        <sz val="11"/>
        <rFont val="Linux Libertine G"/>
        <family val="2"/>
      </rPr>
      <t xml:space="preserve">，压 </t>
    </r>
    <r>
      <rPr>
        <sz val="11"/>
        <rFont val="Linux Libertine G"/>
        <family val="2"/>
        <charset val="1"/>
      </rPr>
      <t xml:space="preserve">56K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19 </t>
    </r>
    <r>
      <rPr>
        <sz val="11"/>
        <rFont val="Linux Libertine G"/>
        <family val="2"/>
      </rPr>
      <t xml:space="preserve">天）；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没有减产</t>
    </r>
  </si>
  <si>
    <r>
      <rPr>
        <sz val="11"/>
        <rFont val="Linux Libertine G"/>
        <family val="2"/>
      </rPr>
      <t xml:space="preserve">排 </t>
    </r>
    <r>
      <rPr>
        <sz val="11"/>
        <rFont val="Linux Libertine G"/>
        <family val="2"/>
        <charset val="1"/>
      </rPr>
      <t xml:space="preserve">600K + </t>
    </r>
    <r>
      <rPr>
        <sz val="11"/>
        <rFont val="Linux Libertine G"/>
        <family val="2"/>
      </rPr>
      <t xml:space="preserve">库存 </t>
    </r>
    <r>
      <rPr>
        <sz val="11"/>
        <rFont val="Linux Libertine G"/>
        <family val="2"/>
        <charset val="1"/>
      </rPr>
      <t xml:space="preserve">65K</t>
    </r>
    <r>
      <rPr>
        <sz val="11"/>
        <rFont val="Linux Libertine G"/>
        <family val="2"/>
      </rPr>
      <t xml:space="preserve">（担心 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Utility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</si>
  <si>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加满到 </t>
    </r>
    <r>
      <rPr>
        <sz val="11"/>
        <rFont val="Linux Libertine G"/>
        <family val="2"/>
        <charset val="1"/>
      </rPr>
      <t xml:space="preserve">660K</t>
    </r>
    <r>
      <rPr>
        <sz val="11"/>
        <rFont val="Linux Libertine G"/>
        <family val="2"/>
      </rPr>
      <t xml:space="preserve">，加上库存全卖光，缺货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du004 </t>
    </r>
    <r>
      <rPr>
        <sz val="11"/>
        <rFont val="Linux Libertine G"/>
        <family val="2"/>
      </rPr>
      <t xml:space="preserve">只拿到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7.4%</t>
    </r>
  </si>
  <si>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销量（千辆）</t>
    </r>
  </si>
  <si>
    <r>
      <rPr>
        <sz val="11"/>
        <rFont val="Linux Libertine G"/>
        <family val="2"/>
        <charset val="1"/>
      </rPr>
      <t xml:space="preserve">Concept Test 44.1% × </t>
    </r>
    <r>
      <rPr>
        <sz val="11"/>
        <rFont val="Linux Libertine G"/>
        <family val="2"/>
      </rPr>
      <t xml:space="preserve">估计量的 </t>
    </r>
    <r>
      <rPr>
        <sz val="11"/>
        <rFont val="Linux Libertine G"/>
        <family val="2"/>
        <charset val="1"/>
      </rPr>
      <t xml:space="preserve">90%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</si>
  <si>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加满（</t>
    </r>
    <r>
      <rPr>
        <sz val="11"/>
        <rFont val="Linux Libertine G"/>
        <family val="2"/>
        <charset val="1"/>
      </rPr>
      <t xml:space="preserve">240 × 1.1</t>
    </r>
    <r>
      <rPr>
        <sz val="11"/>
        <rFont val="Linux Libertine G"/>
        <family val="2"/>
      </rPr>
      <t xml:space="preserve">），缺货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第一（</t>
    </r>
    <r>
      <rPr>
        <sz val="11"/>
        <rFont val="Linux Libertine G"/>
        <family val="2"/>
        <charset val="1"/>
      </rPr>
      <t xml:space="preserve">28.1%</t>
    </r>
    <r>
      <rPr>
        <sz val="11"/>
        <rFont val="Linux Libertine G"/>
        <family val="2"/>
      </rPr>
      <t xml:space="preserve">）</t>
    </r>
  </si>
  <si>
    <t xml:space="preserve">Concept Test 43.2%</t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</si>
  <si>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加满（</t>
    </r>
    <r>
      <rPr>
        <sz val="11"/>
        <rFont val="Linux Libertine G"/>
        <family val="2"/>
        <charset val="1"/>
      </rPr>
      <t xml:space="preserve">300 × 1.1</t>
    </r>
    <r>
      <rPr>
        <sz val="11"/>
        <rFont val="Linux Libertine G"/>
        <family val="2"/>
      </rPr>
      <t xml:space="preserve">），缺货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第一（</t>
    </r>
    <r>
      <rPr>
        <sz val="11"/>
        <rFont val="Linux Libertine G"/>
        <family val="2"/>
        <charset val="1"/>
      </rPr>
      <t xml:space="preserve">27.8%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</si>
  <si>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排 </t>
    </r>
    <r>
      <rPr>
        <sz val="11"/>
        <rFont val="Linux Libertine G"/>
        <family val="2"/>
        <charset val="1"/>
      </rPr>
      <t xml:space="preserve">520K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Test Market 4.3% </t>
    </r>
    <r>
      <rPr>
        <sz val="11"/>
        <rFont val="Linux Libertine G"/>
        <family val="2"/>
      </rPr>
      <t xml:space="preserve">再多排 </t>
    </r>
    <r>
      <rPr>
        <sz val="11"/>
        <rFont val="Linux Libertine G"/>
        <family val="2"/>
        <charset val="1"/>
      </rPr>
      <t xml:space="preserve">40K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</si>
  <si>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压 </t>
    </r>
    <r>
      <rPr>
        <sz val="11"/>
        <rFont val="Linux Libertine G"/>
        <family val="2"/>
        <charset val="1"/>
      </rPr>
      <t xml:space="preserve">18K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13 </t>
    </r>
    <r>
      <rPr>
        <sz val="11"/>
        <rFont val="Linux Libertine G"/>
        <family val="2"/>
      </rPr>
      <t xml:space="preserve">天）；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第一（</t>
    </r>
    <r>
      <rPr>
        <sz val="11"/>
        <rFont val="Linux Libertine G"/>
        <family val="2"/>
        <charset val="1"/>
      </rPr>
      <t xml:space="preserve">17.5%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</si>
  <si>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缺货的三款多卖 </t>
    </r>
    <r>
      <rPr>
        <sz val="11"/>
        <rFont val="Linux Libertine G"/>
        <family val="2"/>
        <charset val="1"/>
      </rPr>
      <t xml:space="preserve">89K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少卖 </t>
    </r>
    <r>
      <rPr>
        <sz val="11"/>
        <rFont val="Linux Libertine G"/>
        <family val="2"/>
        <charset val="1"/>
      </rPr>
      <t xml:space="preserve">74K</t>
    </r>
  </si>
  <si>
    <r>
      <rPr>
        <sz val="11"/>
        <rFont val="Linux Libertine G"/>
        <family val="2"/>
      </rPr>
      <t xml:space="preserve">卖得多的是单价高的 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</t>
    </r>
  </si>
  <si>
    <t xml:space="preserve">多卖的是单车贡献最高的两款</t>
  </si>
  <si>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（另有 </t>
    </r>
    <r>
      <rPr>
        <sz val="11"/>
        <rFont val="Linux Libertine G"/>
        <family val="2"/>
        <charset val="1"/>
      </rPr>
      <t xml:space="preserve">CD $10,000M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</si>
  <si>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压了 </t>
    </r>
    <r>
      <rPr>
        <sz val="11"/>
        <rFont val="Linux Libertine G"/>
        <family val="2"/>
        <charset val="1"/>
      </rPr>
      <t xml:space="preserve">74K </t>
    </r>
    <r>
      <rPr>
        <sz val="11"/>
        <rFont val="Linux Libertine G"/>
        <family val="2"/>
      </rPr>
      <t xml:space="preserve">辆库存（</t>
    </r>
    <r>
      <rPr>
        <sz val="11"/>
        <rFont val="Linux Libertine G"/>
        <family val="2"/>
        <charset val="1"/>
      </rPr>
      <t xml:space="preserve">$1,158M</t>
    </r>
    <r>
      <rPr>
        <sz val="11"/>
        <rFont val="Linux Libertine G"/>
        <family val="2"/>
      </rPr>
      <t xml:space="preserve">）</t>
    </r>
  </si>
  <si>
    <t xml:space="preserve">利用率</t>
  </si>
  <si>
    <r>
      <rPr>
        <sz val="11"/>
        <rFont val="Linux Libertine G"/>
        <family val="2"/>
        <charset val="1"/>
      </rPr>
      <t xml:space="preserve">Manufacturing </t>
    </r>
    <r>
      <rPr>
        <sz val="11"/>
        <rFont val="Linux Libertine G"/>
        <family val="2"/>
      </rPr>
      <t xml:space="preserve">页面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</si>
  <si>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给缺货的三款多产</t>
    </r>
  </si>
  <si>
    <t xml:space="preserve">系统预测</t>
  </si>
  <si>
    <r>
      <rPr>
        <sz val="11"/>
        <rFont val="Linux Libertine G"/>
        <family val="2"/>
      </rPr>
      <t xml:space="preserve">只有预测的 </t>
    </r>
    <r>
      <rPr>
        <sz val="11"/>
        <rFont val="Linux Libertine G"/>
        <family val="2"/>
        <charset val="1"/>
      </rPr>
      <t xml:space="preserve">77%</t>
    </r>
    <r>
      <rPr>
        <sz val="11"/>
        <rFont val="Linux Libertine G"/>
        <family val="2"/>
      </rPr>
      <t xml:space="preserve">，规律还成立</t>
    </r>
  </si>
  <si>
    <t xml:space="preserve">+50%</t>
  </si>
  <si>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+69%</t>
    </r>
  </si>
  <si>
    <r>
      <rPr>
        <b val="true"/>
        <sz val="11"/>
        <color rgb="FFFFFFFF"/>
        <rFont val="Linux Libertine G"/>
        <family val="2"/>
        <charset val="1"/>
      </rPr>
      <t xml:space="preserve">B. </t>
    </r>
    <r>
      <rPr>
        <b val="true"/>
        <sz val="11"/>
        <color rgb="FFFFFFFF"/>
        <rFont val="Linux Libertine G"/>
        <family val="2"/>
      </rPr>
      <t xml:space="preserve">每个数据为什么涨、为什么跌（</t>
    </r>
    <r>
      <rPr>
        <b val="true"/>
        <sz val="11"/>
        <color rgb="FFFFFFFF"/>
        <rFont val="Linux Libertine G"/>
        <family val="2"/>
        <charset val="1"/>
      </rPr>
      <t xml:space="preserve">Year 3 → Year 4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</si>
  <si>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销量 </t>
    </r>
    <r>
      <rPr>
        <sz val="11"/>
        <rFont val="Linux Libertine G"/>
        <family val="2"/>
        <charset val="1"/>
      </rPr>
      <t xml:space="preserve">2,400K → 2,915K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+21%</t>
    </r>
    <r>
      <rPr>
        <sz val="11"/>
        <rFont val="Linux Libertine G"/>
        <family val="2"/>
      </rPr>
      <t xml:space="preserve">）；单车 </t>
    </r>
    <r>
      <rPr>
        <sz val="11"/>
        <rFont val="Linux Libertine G"/>
        <family val="2"/>
        <charset val="1"/>
      </rPr>
      <t xml:space="preserve">dealer invoice $24,351 → $27,111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+11%</t>
    </r>
    <r>
      <rPr>
        <sz val="11"/>
        <rFont val="Linux Libertine G"/>
        <family val="2"/>
      </rPr>
      <t xml:space="preserve">，提价约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上市</t>
    </r>
  </si>
  <si>
    <r>
      <rPr>
        <sz val="11"/>
        <rFont val="Linux Libertine G"/>
        <family val="2"/>
      </rPr>
      <t xml:space="preserve">销量增加；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降成本；超产能费 </t>
    </r>
    <r>
      <rPr>
        <sz val="11"/>
        <rFont val="Linux Libertine G"/>
        <family val="2"/>
        <charset val="1"/>
      </rPr>
      <t xml:space="preserve">$450M → 0</t>
    </r>
  </si>
  <si>
    <r>
      <rPr>
        <sz val="11"/>
        <rFont val="Linux Libertine G"/>
        <family val="2"/>
      </rPr>
      <t xml:space="preserve">提价；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单车毛利 </t>
    </r>
    <r>
      <rPr>
        <sz val="11"/>
        <rFont val="Linux Libertine G"/>
        <family val="2"/>
        <charset val="1"/>
      </rPr>
      <t xml:space="preserve">$14,275</t>
    </r>
    <r>
      <rPr>
        <sz val="11"/>
        <rFont val="Linux Libertine G"/>
        <family val="2"/>
      </rPr>
      <t xml:space="preserve">；没有超产能费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</si>
  <si>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广告加倍；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上市 </t>
    </r>
    <r>
      <rPr>
        <sz val="11"/>
        <rFont val="Linux Libertine G"/>
        <family val="2"/>
        <charset val="1"/>
      </rPr>
      <t xml:space="preserve">$260M</t>
    </r>
  </si>
  <si>
    <r>
      <rPr>
        <sz val="11"/>
        <rFont val="Linux Libertine G"/>
        <family val="2"/>
      </rPr>
      <t xml:space="preserve">取消 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Cargo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Quality </t>
    </r>
    <r>
      <rPr>
        <sz val="11"/>
        <rFont val="Linux Libertine G"/>
        <family val="2"/>
      </rPr>
      <t xml:space="preserve">技术；没有建新中心</t>
    </r>
  </si>
  <si>
    <r>
      <rPr>
        <sz val="11"/>
        <rFont val="Linux Libertine G"/>
        <family val="2"/>
      </rPr>
      <t xml:space="preserve">经销商 </t>
    </r>
    <r>
      <rPr>
        <sz val="11"/>
        <rFont val="Linux Libertine G"/>
        <family val="2"/>
        <charset val="1"/>
      </rPr>
      <t xml:space="preserve">+52 </t>
    </r>
    <r>
      <rPr>
        <sz val="11"/>
        <rFont val="Linux Libertine G"/>
        <family val="2"/>
      </rPr>
      <t xml:space="preserve">家；销量增加</t>
    </r>
  </si>
  <si>
    <r>
      <rPr>
        <sz val="11"/>
        <rFont val="Linux Libertine G"/>
        <family val="2"/>
      </rPr>
      <t xml:space="preserve">毛利多了约 </t>
    </r>
    <r>
      <rPr>
        <sz val="11"/>
        <rFont val="Linux Libertine G"/>
        <family val="2"/>
        <charset val="1"/>
      </rPr>
      <t xml:space="preserve">$9.2B</t>
    </r>
    <r>
      <rPr>
        <sz val="11"/>
        <rFont val="Linux Libertine G"/>
        <family val="2"/>
      </rPr>
      <t xml:space="preserve">，费用只多了约 </t>
    </r>
    <r>
      <rPr>
        <sz val="11"/>
        <rFont val="Linux Libertine G"/>
        <family val="2"/>
        <charset val="1"/>
      </rPr>
      <t xml:space="preserve">$0.25B</t>
    </r>
  </si>
  <si>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从 </t>
    </r>
    <r>
      <rPr>
        <sz val="11"/>
        <rFont val="Linux Libertine G"/>
        <family val="2"/>
        <charset val="1"/>
      </rPr>
      <t xml:space="preserve">$2B </t>
    </r>
    <r>
      <rPr>
        <sz val="11"/>
        <rFont val="Linux Libertine G"/>
        <family val="2"/>
      </rPr>
      <t xml:space="preserve">加到 </t>
    </r>
    <r>
      <rPr>
        <sz val="11"/>
        <rFont val="Linux Libertine G"/>
        <family val="2"/>
        <charset val="1"/>
      </rPr>
      <t xml:space="preserve">$10B</t>
    </r>
  </si>
  <si>
    <r>
      <rPr>
        <sz val="11"/>
        <rFont val="Linux Libertine G"/>
        <family val="2"/>
      </rPr>
      <t xml:space="preserve">增加 </t>
    </r>
    <r>
      <rPr>
        <sz val="11"/>
        <rFont val="Linux Libertine G"/>
        <family val="2"/>
        <charset val="1"/>
      </rPr>
      <t xml:space="preserve">$6.34B</t>
    </r>
    <r>
      <rPr>
        <sz val="11"/>
        <rFont val="Linux Libertine G"/>
        <family val="2"/>
      </rPr>
      <t xml:space="preserve">，和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增加的 </t>
    </r>
    <r>
      <rPr>
        <sz val="11"/>
        <rFont val="Linux Libertine G"/>
        <family val="2"/>
        <charset val="1"/>
      </rPr>
      <t xml:space="preserve">$6.30B </t>
    </r>
    <r>
      <rPr>
        <sz val="11"/>
        <rFont val="Linux Libertine G"/>
        <family val="2"/>
      </rPr>
      <t xml:space="preserve">差不多；增速变慢是因为基数大了</t>
    </r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</si>
  <si>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+18,361</t>
    </r>
    <r>
      <rPr>
        <sz val="11"/>
        <rFont val="Linux Libertine G"/>
        <family val="2"/>
      </rPr>
      <t xml:space="preserve">；扩产 −</t>
    </r>
    <r>
      <rPr>
        <sz val="11"/>
        <rFont val="Linux Libertine G"/>
        <family val="2"/>
        <charset val="1"/>
      </rPr>
      <t xml:space="preserve">2,711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retooling −1,319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净买 −</t>
    </r>
    <r>
      <rPr>
        <sz val="11"/>
        <rFont val="Linux Libertine G"/>
        <family val="2"/>
        <charset val="1"/>
      </rPr>
      <t xml:space="preserve">8,000</t>
    </r>
    <r>
      <rPr>
        <sz val="11"/>
        <rFont val="Linux Libertine G"/>
        <family val="2"/>
      </rPr>
      <t xml:space="preserve">、分红 −</t>
    </r>
    <r>
      <rPr>
        <sz val="11"/>
        <rFont val="Linux Libertine G"/>
        <family val="2"/>
        <charset val="1"/>
      </rPr>
      <t xml:space="preserve">100</t>
    </r>
  </si>
  <si>
    <r>
      <rPr>
        <sz val="11"/>
        <rFont val="Linux Libertine G"/>
        <family val="2"/>
        <charset val="1"/>
      </rPr>
      <t xml:space="preserve">Canyon 65K </t>
    </r>
    <r>
      <rPr>
        <sz val="11"/>
        <rFont val="Linux Libertine G"/>
        <family val="2"/>
      </rPr>
      <t xml:space="preserve">卖完；</t>
    </r>
    <r>
      <rPr>
        <sz val="11"/>
        <rFont val="Linux Libertine G"/>
        <family val="2"/>
        <charset val="1"/>
      </rPr>
      <t xml:space="preserve">Cafav 56K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18K</t>
    </r>
  </si>
  <si>
    <r>
      <rPr>
        <sz val="11"/>
        <rFont val="Linux Libertine G"/>
        <family val="2"/>
      </rPr>
      <t xml:space="preserve">扩产 </t>
    </r>
    <r>
      <rPr>
        <sz val="11"/>
        <rFont val="Linux Libertine G"/>
        <family val="2"/>
        <charset val="1"/>
      </rPr>
      <t xml:space="preserve">+400K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起可用）</t>
    </r>
    <r>
      <rPr>
        <sz val="11"/>
        <rFont val="Linux Libertine G"/>
        <family val="2"/>
        <charset val="1"/>
      </rPr>
      <t xml:space="preserve">+ retooling</t>
    </r>
  </si>
  <si>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$15,578M − </t>
    </r>
    <r>
      <rPr>
        <sz val="11"/>
        <rFont val="Linux Libertine G"/>
        <family val="2"/>
      </rPr>
      <t xml:space="preserve">分红 </t>
    </r>
    <r>
      <rPr>
        <sz val="11"/>
        <rFont val="Linux Libertine G"/>
        <family val="2"/>
        <charset val="1"/>
      </rPr>
      <t xml:space="preserve">$100M</t>
    </r>
  </si>
  <si>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+69%</t>
    </r>
    <r>
      <rPr>
        <sz val="11"/>
        <rFont val="Linux Libertine G"/>
        <family val="2"/>
      </rPr>
      <t xml:space="preserve">；负债为 </t>
    </r>
    <r>
      <rPr>
        <sz val="11"/>
        <rFont val="Linux Libertine G"/>
        <family val="2"/>
        <charset val="1"/>
      </rPr>
      <t xml:space="preserve">0</t>
    </r>
    <r>
      <rPr>
        <sz val="11"/>
        <rFont val="Linux Libertine G"/>
        <family val="2"/>
      </rPr>
      <t xml:space="preserve">；份额、偏好度第一</t>
    </r>
  </si>
  <si>
    <t xml:space="preserve">全部来自股价上涨</t>
  </si>
  <si>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上市；</t>
    </r>
    <r>
      <rPr>
        <sz val="11"/>
        <rFont val="Linux Libertine G"/>
        <family val="2"/>
        <charset val="1"/>
      </rPr>
      <t xml:space="preserve">Cameo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升级或降成本</t>
    </r>
  </si>
  <si>
    <r>
      <rPr>
        <sz val="11"/>
        <rFont val="Linux Libertine G"/>
        <family val="2"/>
      </rPr>
      <t xml:space="preserve">产能 </t>
    </r>
    <r>
      <rPr>
        <sz val="11"/>
        <rFont val="Linux Libertine G"/>
        <family val="2"/>
        <charset val="1"/>
      </rPr>
      <t xml:space="preserve">+800K</t>
    </r>
  </si>
  <si>
    <r>
      <rPr>
        <sz val="11"/>
        <rFont val="Linux Libertine G"/>
        <family val="2"/>
        <charset val="1"/>
      </rPr>
      <t xml:space="preserve">$26,400 → $29,000</t>
    </r>
    <r>
      <rPr>
        <sz val="11"/>
        <rFont val="Linux Libertine G"/>
        <family val="2"/>
      </rPr>
      <t xml:space="preserve">，单车 </t>
    </r>
    <r>
      <rPr>
        <sz val="11"/>
        <rFont val="Linux Libertine G"/>
        <family val="2"/>
        <charset val="1"/>
      </rPr>
      <t xml:space="preserve">$10,405</t>
    </r>
  </si>
  <si>
    <r>
      <rPr>
        <sz val="11"/>
        <rFont val="Linux Libertine G"/>
        <family val="2"/>
        <charset val="1"/>
      </rPr>
      <t xml:space="preserve">725K</t>
    </r>
    <r>
      <rPr>
        <sz val="11"/>
        <rFont val="Linux Libertine G"/>
        <family val="2"/>
      </rPr>
      <t xml:space="preserve">，单车 </t>
    </r>
    <r>
      <rPr>
        <sz val="11"/>
        <rFont val="Linux Libertine G"/>
        <family val="2"/>
        <charset val="1"/>
      </rPr>
      <t xml:space="preserve">$13,607</t>
    </r>
  </si>
  <si>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贡献（</t>
    </r>
    <r>
      <rPr>
        <sz val="11"/>
        <rFont val="Linux Libertine G"/>
        <family val="2"/>
        <charset val="1"/>
      </rPr>
      <t xml:space="preserve">$M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</si>
  <si>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上市第一年，单车 </t>
    </r>
    <r>
      <rPr>
        <sz val="11"/>
        <rFont val="Linux Libertine G"/>
        <family val="2"/>
        <charset val="1"/>
      </rPr>
      <t xml:space="preserve">$13,291</t>
    </r>
  </si>
  <si>
    <t xml:space="preserve">$25,500 → $27,000</t>
  </si>
  <si>
    <r>
      <rPr>
        <sz val="11"/>
        <rFont val="Linux Libertine G"/>
        <family val="2"/>
      </rPr>
      <t xml:space="preserve">新版尺寸 </t>
    </r>
    <r>
      <rPr>
        <sz val="11"/>
        <rFont val="Linux Libertine G"/>
        <family val="2"/>
        <charset val="1"/>
      </rPr>
      <t xml:space="preserve">22 </t>
    </r>
    <r>
      <rPr>
        <sz val="11"/>
        <rFont val="Linux Libertine G"/>
        <family val="2"/>
      </rPr>
      <t xml:space="preserve">转向 </t>
    </r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；单车 </t>
    </r>
    <r>
      <rPr>
        <sz val="11"/>
        <rFont val="Linux Libertine G"/>
        <family val="2"/>
        <charset val="1"/>
      </rPr>
      <t xml:space="preserve">$3,051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Y3 $4,164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</si>
  <si>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$18,361M − </t>
    </r>
    <r>
      <rPr>
        <sz val="11"/>
        <rFont val="Linux Libertine G"/>
        <family val="2"/>
      </rPr>
      <t xml:space="preserve">扩产和 </t>
    </r>
    <r>
      <rPr>
        <sz val="11"/>
        <rFont val="Linux Libertine G"/>
        <family val="2"/>
        <charset val="1"/>
      </rPr>
      <t xml:space="preserve">retooling $4,030M</t>
    </r>
  </si>
  <si>
    <r>
      <rPr>
        <b val="true"/>
        <sz val="11"/>
        <color rgb="FFFFFFFF"/>
        <rFont val="Linux Libertine G"/>
        <family val="2"/>
        <charset val="1"/>
      </rPr>
      <t xml:space="preserve">C. </t>
    </r>
    <r>
      <rPr>
        <b val="true"/>
        <sz val="11"/>
        <color rgb="FFFFFFFF"/>
        <rFont val="Linux Libertine G"/>
        <family val="2"/>
      </rPr>
      <t xml:space="preserve">七家对比（</t>
    </r>
    <r>
      <rPr>
        <b val="true"/>
        <sz val="11"/>
        <color rgb="FFFFFFFF"/>
        <rFont val="Linux Libertine G"/>
        <family val="2"/>
        <charset val="1"/>
      </rPr>
      <t xml:space="preserve">Year 4</t>
    </r>
    <r>
      <rPr>
        <b val="true"/>
        <sz val="11"/>
        <color rgb="FFFFFFFF"/>
        <rFont val="Linux Libertine G"/>
        <family val="2"/>
      </rPr>
      <t xml:space="preserve">）和为什么我们第一</t>
    </r>
  </si>
  <si>
    <r>
      <rPr>
        <b val="true"/>
        <sz val="11"/>
        <color rgb="FFFFFFFF"/>
        <rFont val="Linux Libertine G"/>
        <family val="2"/>
      </rPr>
      <t xml:space="preserve">累计净利（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</si>
  <si>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Weighted Score</t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</si>
  <si>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Alfa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Safety 6 / Quality 6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$23,998</t>
    </r>
    <r>
      <rPr>
        <sz val="11"/>
        <rFont val="Linux Libertine G"/>
        <family val="2"/>
      </rPr>
      <t xml:space="preserve">）和 </t>
    </r>
    <r>
      <rPr>
        <sz val="11"/>
        <rFont val="Linux Libertine G"/>
        <family val="2"/>
        <charset val="1"/>
      </rPr>
      <t xml:space="preserve">Ace</t>
    </r>
  </si>
  <si>
    <r>
      <rPr>
        <sz val="11"/>
        <rFont val="Linux Libertine G"/>
        <family val="2"/>
      </rPr>
      <t xml:space="preserve">又升级 </t>
    </r>
    <r>
      <rPr>
        <sz val="11"/>
        <rFont val="Linux Libertine G"/>
        <family val="2"/>
        <charset val="1"/>
      </rPr>
      <t xml:space="preserve">Buzzy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Boffo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Boss</t>
    </r>
    <r>
      <rPr>
        <sz val="11"/>
        <rFont val="Linux Libertine G"/>
        <family val="2"/>
      </rPr>
      <t xml:space="preserve">；第 </t>
    </r>
    <r>
      <rPr>
        <sz val="11"/>
        <rFont val="Linux Libertine G"/>
        <family val="2"/>
        <charset val="1"/>
      </rPr>
      <t xml:space="preserve">3</t>
    </r>
  </si>
  <si>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、新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上市；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降成本；</t>
    </r>
    <r>
      <rPr>
        <sz val="11"/>
        <rFont val="Linux Libertine G"/>
        <family val="2"/>
        <charset val="1"/>
      </rPr>
      <t xml:space="preserve">Chow </t>
    </r>
    <r>
      <rPr>
        <sz val="11"/>
        <rFont val="Linux Libertine G"/>
        <family val="2"/>
      </rPr>
      <t xml:space="preserve">开工；扩产 </t>
    </r>
    <r>
      <rPr>
        <sz val="11"/>
        <rFont val="Linux Libertine G"/>
        <family val="2"/>
        <charset val="1"/>
      </rPr>
      <t xml:space="preserve">+400K</t>
    </r>
  </si>
  <si>
    <r>
      <rPr>
        <sz val="11"/>
        <rFont val="Linux Libertine G"/>
        <family val="2"/>
      </rPr>
      <t xml:space="preserve">推出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 </t>
    </r>
    <r>
      <rPr>
        <sz val="11"/>
        <rFont val="Linux Libertine G"/>
        <family val="2"/>
        <charset val="1"/>
      </rPr>
      <t xml:space="preserve">du004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$30,000</t>
    </r>
    <r>
      <rPr>
        <sz val="11"/>
        <rFont val="Linux Libertine G"/>
        <family val="2"/>
      </rPr>
      <t xml:space="preserve">）；升级 </t>
    </r>
    <r>
      <rPr>
        <sz val="11"/>
        <rFont val="Linux Libertine G"/>
        <family val="2"/>
        <charset val="1"/>
      </rPr>
      <t xml:space="preserve">Delite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Defy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</si>
  <si>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Efizz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Elan</t>
    </r>
  </si>
  <si>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Fantasy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Fast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Futura</t>
    </r>
    <r>
      <rPr>
        <sz val="11"/>
        <rFont val="Linux Libertine G"/>
        <family val="2"/>
      </rPr>
      <t xml:space="preserve">；净利 </t>
    </r>
    <r>
      <rPr>
        <sz val="11"/>
        <rFont val="Linux Libertine G"/>
        <family val="2"/>
        <charset val="1"/>
      </rPr>
      <t xml:space="preserve">+88%</t>
    </r>
  </si>
  <si>
    <r>
      <rPr>
        <sz val="11"/>
        <rFont val="Linux Libertine G"/>
        <family val="2"/>
      </rPr>
      <t xml:space="preserve">推出家用车 </t>
    </r>
    <r>
      <rPr>
        <sz val="11"/>
        <rFont val="Linux Libertine G"/>
        <family val="2"/>
        <charset val="1"/>
      </rPr>
      <t xml:space="preserve">Gala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$24,000</t>
    </r>
    <r>
      <rPr>
        <sz val="11"/>
        <rFont val="Linux Libertine G"/>
        <family val="2"/>
      </rPr>
      <t xml:space="preserve">）；升级 </t>
    </r>
    <r>
      <rPr>
        <sz val="11"/>
        <rFont val="Linux Libertine G"/>
        <family val="2"/>
        <charset val="1"/>
      </rPr>
      <t xml:space="preserve">Gone</t>
    </r>
    <r>
      <rPr>
        <sz val="11"/>
        <rFont val="Linux Libertine G"/>
        <family val="2"/>
      </rPr>
      <t xml:space="preserve">；宣布做 </t>
    </r>
    <r>
      <rPr>
        <sz val="11"/>
        <rFont val="Linux Libertine G"/>
        <family val="2"/>
        <charset val="1"/>
      </rPr>
      <t xml:space="preserve">Minivan</t>
    </r>
  </si>
  <si>
    <r>
      <rPr>
        <sz val="11"/>
        <rFont val="Linux Libertine G"/>
        <family val="2"/>
      </rPr>
      <t xml:space="preserve">① 毛利率 </t>
    </r>
    <r>
      <rPr>
        <sz val="11"/>
        <rFont val="Linux Libertine G"/>
        <family val="2"/>
        <charset val="1"/>
      </rPr>
      <t xml:space="preserve">36.2%</t>
    </r>
    <r>
      <rPr>
        <sz val="11"/>
        <rFont val="Linux Libertine G"/>
        <family val="2"/>
      </rPr>
      <t xml:space="preserve">，比第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名 </t>
    </r>
    <r>
      <rPr>
        <sz val="11"/>
        <rFont val="Linux Libertine G"/>
        <family val="2"/>
        <charset val="1"/>
      </rPr>
      <t xml:space="preserve">F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30.2%</t>
    </r>
    <r>
      <rPr>
        <sz val="11"/>
        <rFont val="Linux Libertine G"/>
        <family val="2"/>
      </rPr>
      <t xml:space="preserve">）高 </t>
    </r>
    <r>
      <rPr>
        <sz val="11"/>
        <rFont val="Linux Libertine G"/>
        <family val="2"/>
        <charset val="1"/>
      </rPr>
      <t xml:space="preserve">6 </t>
    </r>
    <r>
      <rPr>
        <sz val="11"/>
        <rFont val="Linux Libertine G"/>
        <family val="2"/>
      </rPr>
      <t xml:space="preserve">点；② 规模最大：营收 </t>
    </r>
    <r>
      <rPr>
        <sz val="11"/>
        <rFont val="Linux Libertine G"/>
        <family val="2"/>
        <charset val="1"/>
      </rPr>
      <t xml:space="preserve">$79.0B</t>
    </r>
    <r>
      <rPr>
        <sz val="11"/>
        <rFont val="Linux Libertine G"/>
        <family val="2"/>
      </rPr>
      <t xml:space="preserve">，是 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1.9 </t>
    </r>
    <r>
      <rPr>
        <sz val="11"/>
        <rFont val="Linux Libertine G"/>
        <family val="2"/>
      </rPr>
      <t xml:space="preserve">倍；③ 没有负债；④ 偏好度和份额都第 </t>
    </r>
    <r>
      <rPr>
        <sz val="11"/>
        <rFont val="Linux Libertine G"/>
        <family val="2"/>
        <charset val="1"/>
      </rPr>
      <t xml:space="preserve">1</t>
    </r>
  </si>
  <si>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为什么追得快</t>
    </r>
  </si>
  <si>
    <r>
      <rPr>
        <sz val="11"/>
        <rFont val="Linux Libertine G"/>
        <family val="2"/>
      </rPr>
      <t xml:space="preserve">一年升级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款（含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 </t>
    </r>
    <r>
      <rPr>
        <sz val="11"/>
        <rFont val="Linux Libertine G"/>
        <family val="2"/>
        <charset val="1"/>
      </rPr>
      <t xml:space="preserve">Futura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20.0%</t>
    </r>
    <r>
      <rPr>
        <sz val="11"/>
        <rFont val="Linux Libertine G"/>
        <family val="2"/>
      </rPr>
      <t xml:space="preserve">），毛利率 </t>
    </r>
    <r>
      <rPr>
        <sz val="11"/>
        <rFont val="Linux Libertine G"/>
        <family val="2"/>
        <charset val="1"/>
      </rPr>
      <t xml:space="preserve">30.2%</t>
    </r>
    <r>
      <rPr>
        <sz val="11"/>
        <rFont val="Linux Libertine G"/>
        <family val="2"/>
      </rPr>
      <t xml:space="preserve">；净利 </t>
    </r>
    <r>
      <rPr>
        <sz val="11"/>
        <rFont val="Linux Libertine G"/>
        <family val="2"/>
        <charset val="1"/>
      </rPr>
      <t xml:space="preserve">+88%</t>
    </r>
    <r>
      <rPr>
        <sz val="11"/>
        <rFont val="Linux Libertine G"/>
        <family val="2"/>
      </rPr>
      <t xml:space="preserve">，市值 </t>
    </r>
    <r>
      <rPr>
        <sz val="11"/>
        <rFont val="Linux Libertine G"/>
        <family val="2"/>
        <charset val="1"/>
      </rPr>
      <t xml:space="preserve">+64%</t>
    </r>
    <r>
      <rPr>
        <sz val="11"/>
        <rFont val="Linux Libertine G"/>
        <family val="2"/>
      </rPr>
      <t xml:space="preserve">，比我们的 </t>
    </r>
    <r>
      <rPr>
        <sz val="11"/>
        <rFont val="Linux Libertine G"/>
        <family val="2"/>
        <charset val="1"/>
      </rPr>
      <t xml:space="preserve">+50% </t>
    </r>
    <r>
      <rPr>
        <sz val="11"/>
        <rFont val="Linux Libertine G"/>
        <family val="2"/>
      </rPr>
      <t xml:space="preserve">快</t>
    </r>
  </si>
  <si>
    <t xml:space="preserve">增速为什么变慢</t>
  </si>
  <si>
    <r>
      <rPr>
        <sz val="11"/>
        <rFont val="Linux Libertine G"/>
        <family val="2"/>
      </rPr>
      <t xml:space="preserve">① 基数变大：净利增加的绝对额和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一样（约 </t>
    </r>
    <r>
      <rPr>
        <sz val="11"/>
        <rFont val="Linux Libertine G"/>
        <family val="2"/>
        <charset val="1"/>
      </rPr>
      <t xml:space="preserve">$6.3B</t>
    </r>
    <r>
      <rPr>
        <sz val="11"/>
        <rFont val="Linux Libertine G"/>
        <family val="2"/>
      </rPr>
      <t xml:space="preserve">）；②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的跳升来自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上市（新增贡献 </t>
    </r>
    <r>
      <rPr>
        <sz val="11"/>
        <rFont val="Linux Libertine G"/>
        <family val="2"/>
        <charset val="1"/>
      </rPr>
      <t xml:space="preserve">$8.1B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的新车 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只有 </t>
    </r>
    <r>
      <rPr>
        <sz val="11"/>
        <rFont val="Linux Libertine G"/>
        <family val="2"/>
        <charset val="1"/>
      </rPr>
      <t xml:space="preserve">$3.5B</t>
    </r>
    <r>
      <rPr>
        <sz val="11"/>
        <rFont val="Linux Libertine G"/>
        <family val="2"/>
      </rPr>
      <t xml:space="preserve">；③ 产能是瓶颈：利用率 </t>
    </r>
    <r>
      <rPr>
        <sz val="11"/>
        <rFont val="Linux Libertine G"/>
        <family val="2"/>
        <charset val="1"/>
      </rPr>
      <t xml:space="preserve">95.9%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；④ 产能分错了车：多排的给了 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</t>
    </r>
    <r>
      <rPr>
        <sz val="11"/>
        <rFont val="Linux Libertine G"/>
        <family val="2"/>
      </rPr>
      <t xml:space="preserve">，结果压了 </t>
    </r>
    <r>
      <rPr>
        <sz val="11"/>
        <rFont val="Linux Libertine G"/>
        <family val="2"/>
        <charset val="1"/>
      </rPr>
      <t xml:space="preserve">74K </t>
    </r>
    <r>
      <rPr>
        <sz val="11"/>
        <rFont val="Linux Libertine G"/>
        <family val="2"/>
      </rPr>
      <t xml:space="preserve">辆</t>
    </r>
  </si>
  <si>
    <t xml:space="preserve">产能分给了错的车</t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</si>
  <si>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多排 </t>
    </r>
    <r>
      <rPr>
        <sz val="11"/>
        <rFont val="Linux Libertine G"/>
        <family val="2"/>
        <charset val="1"/>
      </rPr>
      <t xml:space="preserve">100K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多排 </t>
    </r>
    <r>
      <rPr>
        <sz val="11"/>
        <rFont val="Linux Libertine G"/>
        <family val="2"/>
        <charset val="1"/>
      </rPr>
      <t xml:space="preserve">40K</t>
    </r>
    <r>
      <rPr>
        <sz val="11"/>
        <rFont val="Linux Libertine G"/>
        <family val="2"/>
      </rPr>
      <t xml:space="preserve">，压了 </t>
    </r>
    <r>
      <rPr>
        <sz val="11"/>
        <rFont val="Linux Libertine G"/>
        <family val="2"/>
        <charset val="1"/>
      </rPr>
      <t xml:space="preserve">74K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（单车 </t>
    </r>
    <r>
      <rPr>
        <sz val="11"/>
        <rFont val="Linux Libertine G"/>
        <family val="2"/>
        <charset val="1"/>
      </rPr>
      <t xml:space="preserve">$13,607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$13,291</t>
    </r>
    <r>
      <rPr>
        <sz val="11"/>
        <rFont val="Linux Libertine G"/>
        <family val="2"/>
      </rPr>
      <t xml:space="preserve">）缺货 </t>
    </r>
    <r>
      <rPr>
        <sz val="11"/>
        <rFont val="Linux Libertine G"/>
        <family val="2"/>
        <charset val="1"/>
      </rPr>
      <t xml:space="preserve">&gt;30%</t>
    </r>
  </si>
  <si>
    <r>
      <rPr>
        <sz val="11"/>
        <rFont val="Linux Libertine G"/>
        <family val="2"/>
      </rPr>
      <t xml:space="preserve">按单车贡献分配产能（老师的 </t>
    </r>
    <r>
      <rPr>
        <sz val="11"/>
        <rFont val="Linux Libertine G"/>
        <family val="2"/>
        <charset val="1"/>
      </rPr>
      <t xml:space="preserve">Manufacturing priority</t>
    </r>
    <r>
      <rPr>
        <sz val="11"/>
        <rFont val="Linux Libertine G"/>
        <family val="2"/>
      </rPr>
      <t xml:space="preserve">）；多排给缺货的高毛利车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</si>
  <si>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被对手吓到少排</t>
    </r>
  </si>
  <si>
    <r>
      <rPr>
        <sz val="11"/>
        <rFont val="Linux Libertine G"/>
        <family val="2"/>
      </rPr>
      <t xml:space="preserve">为了 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只排 </t>
    </r>
    <r>
      <rPr>
        <sz val="11"/>
        <rFont val="Linux Libertine G"/>
        <family val="2"/>
        <charset val="1"/>
      </rPr>
      <t xml:space="preserve">600K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du004 </t>
    </r>
    <r>
      <rPr>
        <sz val="11"/>
        <rFont val="Linux Libertine G"/>
        <family val="2"/>
      </rPr>
      <t xml:space="preserve">只拿到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7.4%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Canyon 41.7% </t>
    </r>
    <r>
      <rPr>
        <sz val="11"/>
        <rFont val="Linux Libertine G"/>
        <family val="2"/>
      </rPr>
      <t xml:space="preserve">第一</t>
    </r>
  </si>
  <si>
    <r>
      <rPr>
        <sz val="11"/>
        <rFont val="Linux Libertine G"/>
        <family val="2"/>
        <charset val="1"/>
      </rPr>
      <t xml:space="preserve">D5 Canyon </t>
    </r>
    <r>
      <rPr>
        <sz val="11"/>
        <rFont val="Linux Libertine G"/>
        <family val="2"/>
      </rPr>
      <t xml:space="preserve">排 </t>
    </r>
    <r>
      <rPr>
        <sz val="11"/>
        <rFont val="Linux Libertine G"/>
        <family val="2"/>
        <charset val="1"/>
      </rPr>
      <t xml:space="preserve">820K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</si>
  <si>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低估缺货车的需求</t>
    </r>
  </si>
  <si>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份额就是上一年被产量卡住的份额</t>
    </r>
  </si>
  <si>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&gt;30% </t>
    </r>
    <r>
      <rPr>
        <sz val="11"/>
        <rFont val="Linux Libertine G"/>
        <family val="2"/>
      </rPr>
      <t xml:space="preserve">的车，排产要比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多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</si>
  <si>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不减产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</si>
  <si>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产 </t>
    </r>
    <r>
      <rPr>
        <sz val="11"/>
        <rFont val="Linux Libertine G"/>
        <family val="2"/>
        <charset val="1"/>
      </rPr>
      <t xml:space="preserve">1,150 = </t>
    </r>
    <r>
      <rPr>
        <sz val="11"/>
        <rFont val="Linux Libertine G"/>
        <family val="2"/>
      </rPr>
      <t xml:space="preserve">排产，压 </t>
    </r>
    <r>
      <rPr>
        <sz val="11"/>
        <rFont val="Linux Libertine G"/>
        <family val="2"/>
        <charset val="1"/>
      </rPr>
      <t xml:space="preserve">56K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也一样）</t>
    </r>
  </si>
  <si>
    <r>
      <rPr>
        <sz val="11"/>
        <rFont val="Linux Libertine G"/>
        <family val="2"/>
      </rPr>
      <t xml:space="preserve">不靠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防库存</t>
    </r>
  </si>
  <si>
    <r>
      <rPr>
        <sz val="11"/>
        <rFont val="Linux Libertine G"/>
        <family val="2"/>
      </rPr>
      <t xml:space="preserve">对手追上 </t>
    </r>
    <r>
      <rPr>
        <sz val="11"/>
        <rFont val="Linux Libertine G"/>
        <family val="2"/>
        <charset val="1"/>
      </rPr>
      <t xml:space="preserve">Cafav</t>
    </r>
  </si>
  <si>
    <r>
      <rPr>
        <sz val="11"/>
        <rFont val="Linux Libertine G"/>
        <family val="2"/>
        <charset val="1"/>
      </rPr>
      <t xml:space="preserve">Alfa </t>
    </r>
    <r>
      <rPr>
        <sz val="11"/>
        <rFont val="Linux Libertine G"/>
        <family val="2"/>
      </rPr>
      <t xml:space="preserve">升到 </t>
    </r>
    <r>
      <rPr>
        <sz val="11"/>
        <rFont val="Linux Libertine G"/>
        <family val="2"/>
        <charset val="1"/>
      </rPr>
      <t xml:space="preserve">Safety 6 / Quality 6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2F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hot button </t>
    </r>
    <r>
      <rPr>
        <sz val="11"/>
        <rFont val="Linux Libertine G"/>
        <family val="2"/>
      </rPr>
      <t xml:space="preserve">只剩 </t>
    </r>
    <r>
      <rPr>
        <sz val="11"/>
        <rFont val="Linux Libertine G"/>
        <family val="2"/>
        <charset val="1"/>
      </rPr>
      <t xml:space="preserve">avg</t>
    </r>
    <r>
      <rPr>
        <sz val="11"/>
        <rFont val="Linux Libertine G"/>
        <family val="2"/>
      </rPr>
      <t xml:space="preserve">，份额 </t>
    </r>
    <r>
      <rPr>
        <sz val="11"/>
        <rFont val="Linux Libertine G"/>
        <family val="2"/>
        <charset val="1"/>
      </rPr>
      <t xml:space="preserve">22.3% → 19.6%</t>
    </r>
  </si>
  <si>
    <r>
      <rPr>
        <sz val="11"/>
        <rFont val="Linux Libertine G"/>
        <family val="2"/>
        <charset val="1"/>
      </rPr>
      <t xml:space="preserve">D5 Cafav minor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Safety 6 / Quality 5</t>
    </r>
    <r>
      <rPr>
        <sz val="11"/>
        <rFont val="Linux Libertine G"/>
        <family val="2"/>
      </rPr>
      <t xml:space="preserve">）；买 </t>
    </r>
    <r>
      <rPr>
        <sz val="11"/>
        <rFont val="Linux Libertine G"/>
        <family val="2"/>
        <charset val="1"/>
      </rPr>
      <t xml:space="preserve">Safety </t>
    </r>
    <r>
      <rPr>
        <sz val="11"/>
        <rFont val="Linux Libertine G"/>
        <family val="2"/>
      </rPr>
      <t xml:space="preserve">技术，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到 </t>
    </r>
    <r>
      <rPr>
        <sz val="11"/>
        <rFont val="Linux Libertine G"/>
        <family val="2"/>
        <charset val="1"/>
      </rPr>
      <t xml:space="preserve">Safety 7</t>
    </r>
  </si>
  <si>
    <t xml:space="preserve">+35.2%</t>
  </si>
  <si>
    <t xml:space="preserve">33.2% → 36.2%</t>
  </si>
  <si>
    <t xml:space="preserve">15.8% → 19.7%</t>
  </si>
  <si>
    <t xml:space="preserve">$3,032M → $14,331M</t>
  </si>
  <si>
    <t xml:space="preserve">39.3% → 40.0%</t>
  </si>
  <si>
    <t xml:space="preserve">+49.8%</t>
  </si>
  <si>
    <t xml:space="preserve">试错结论总表：哪些对、哪些不好、哪些还要验证</t>
  </si>
  <si>
    <r>
      <rPr>
        <i val="true"/>
        <sz val="11"/>
        <color rgb="FF595959"/>
        <rFont val="Linux Libertine G"/>
        <family val="2"/>
      </rPr>
      <t xml:space="preserve">✅ 已验证有效　❌ 不好　⏳ 没有结论　⬜ 练习轮测不了，正式比赛一开始就要做（</t>
    </r>
    <r>
      <rPr>
        <i val="true"/>
        <sz val="11"/>
        <color rgb="FF595959"/>
        <rFont val="Linux Libertine G"/>
        <family val="2"/>
        <charset val="1"/>
      </rPr>
      <t xml:space="preserve">Y4 </t>
    </r>
    <r>
      <rPr>
        <i val="true"/>
        <sz val="11"/>
        <color rgb="FF595959"/>
        <rFont val="Linux Libertine G"/>
        <family val="2"/>
      </rPr>
      <t xml:space="preserve">结果已于 </t>
    </r>
    <r>
      <rPr>
        <i val="true"/>
        <sz val="11"/>
        <color rgb="FF595959"/>
        <rFont val="Linux Libertine G"/>
        <family val="2"/>
        <charset val="1"/>
      </rPr>
      <t xml:space="preserve">10/6 </t>
    </r>
    <r>
      <rPr>
        <i val="true"/>
        <sz val="11"/>
        <color rgb="FF595959"/>
        <rFont val="Linux Libertine G"/>
        <family val="2"/>
      </rPr>
      <t xml:space="preserve">更新） 第 </t>
    </r>
    <r>
      <rPr>
        <i val="true"/>
        <sz val="11"/>
        <color rgb="FF595959"/>
        <rFont val="Linux Libertine G"/>
        <family val="2"/>
        <charset val="1"/>
      </rPr>
      <t xml:space="preserve">49 </t>
    </r>
    <r>
      <rPr>
        <i val="true"/>
        <sz val="11"/>
        <color rgb="FF595959"/>
        <rFont val="Linux Libertine G"/>
        <family val="2"/>
      </rPr>
      <t xml:space="preserve">行起是正式比赛 </t>
    </r>
    <r>
      <rPr>
        <i val="true"/>
        <sz val="11"/>
        <color rgb="FF595959"/>
        <rFont val="Linux Libertine G"/>
        <family val="2"/>
        <charset val="1"/>
      </rPr>
      <t xml:space="preserve">Year 1</t>
    </r>
    <r>
      <rPr>
        <i val="true"/>
        <sz val="11"/>
        <color rgb="FF595959"/>
        <rFont val="Linux Libertine G"/>
        <family val="2"/>
      </rPr>
      <t xml:space="preserve">（</t>
    </r>
    <r>
      <rPr>
        <i val="true"/>
        <sz val="11"/>
        <color rgb="FF595959"/>
        <rFont val="Linux Libertine G"/>
        <family val="2"/>
        <charset val="1"/>
      </rPr>
      <t xml:space="preserve">10/11</t>
    </r>
    <r>
      <rPr>
        <i val="true"/>
        <sz val="11"/>
        <color rgb="FF595959"/>
        <rFont val="Linux Libertine G"/>
        <family val="2"/>
      </rPr>
      <t xml:space="preserve">）的新结论。</t>
    </r>
  </si>
  <si>
    <t xml:space="preserve">状态</t>
  </si>
  <si>
    <t xml:space="preserve">类别</t>
  </si>
  <si>
    <t xml:space="preserve">证据（数据）</t>
  </si>
  <si>
    <t xml:space="preserve">正式比赛怎么做</t>
  </si>
  <si>
    <t xml:space="preserve">验证时间</t>
  </si>
  <si>
    <t xml:space="preserve">提前一年扩产</t>
  </si>
  <si>
    <r>
      <rPr>
        <sz val="11"/>
        <rFont val="Linux Libertine G"/>
        <family val="2"/>
      </rPr>
      <t xml:space="preserve">超产能费 </t>
    </r>
    <r>
      <rPr>
        <sz val="11"/>
        <rFont val="Linux Libertine G"/>
        <family val="2"/>
        <charset val="1"/>
      </rPr>
      <t xml:space="preserve">$1,544M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）→ </t>
    </r>
    <r>
      <rPr>
        <sz val="11"/>
        <rFont val="Linux Libertine G"/>
        <family val="2"/>
        <charset val="1"/>
      </rPr>
      <t xml:space="preserve">$141M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）→ </t>
    </r>
    <r>
      <rPr>
        <sz val="11"/>
        <rFont val="Linux Libertine G"/>
        <family val="2"/>
        <charset val="1"/>
      </rPr>
      <t xml:space="preserve">0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）</t>
    </r>
  </si>
  <si>
    <t xml:space="preserve">预计会持续超产就提前一年扩产</t>
  </si>
  <si>
    <t xml:space="preserve">Y2–Y3</t>
  </si>
  <si>
    <t xml:space="preserve">测试</t>
  </si>
  <si>
    <r>
      <rPr>
        <sz val="11"/>
        <rFont val="Arial"/>
        <family val="0"/>
        <charset val="1"/>
      </rPr>
      <t xml:space="preserve">Test Market </t>
    </r>
    <r>
      <rPr>
        <sz val="11"/>
        <rFont val="Linux Libertine G"/>
        <family val="2"/>
      </rPr>
      <t xml:space="preserve">的份额预测</t>
    </r>
  </si>
  <si>
    <r>
      <rPr>
        <sz val="11"/>
        <rFont val="Arial"/>
        <family val="0"/>
        <charset val="1"/>
      </rPr>
      <t xml:space="preserve">Y2 Crash </t>
    </r>
    <r>
      <rPr>
        <sz val="11"/>
        <rFont val="Linux Libertine G"/>
        <family val="2"/>
      </rPr>
      <t xml:space="preserve">预测 </t>
    </r>
    <r>
      <rPr>
        <sz val="11"/>
        <rFont val="Arial"/>
        <family val="0"/>
        <charset val="1"/>
      </rPr>
      <t xml:space="preserve">4.4%</t>
    </r>
    <r>
      <rPr>
        <sz val="11"/>
        <rFont val="Linux Libertine G"/>
        <family val="2"/>
      </rPr>
      <t xml:space="preserve">，实际 </t>
    </r>
    <r>
      <rPr>
        <sz val="11"/>
        <rFont val="Arial"/>
        <family val="0"/>
        <charset val="1"/>
      </rPr>
      <t xml:space="preserve">4.3%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Y3 Cafav </t>
    </r>
    <r>
      <rPr>
        <sz val="11"/>
        <rFont val="Linux Libertine G"/>
        <family val="2"/>
      </rPr>
      <t xml:space="preserve">预测 </t>
    </r>
    <r>
      <rPr>
        <sz val="11"/>
        <rFont val="Arial"/>
        <family val="0"/>
        <charset val="1"/>
      </rPr>
      <t xml:space="preserve">6.6%</t>
    </r>
    <r>
      <rPr>
        <sz val="11"/>
        <rFont val="Linux Libertine G"/>
        <family val="2"/>
      </rPr>
      <t xml:space="preserve">，实际 </t>
    </r>
    <r>
      <rPr>
        <sz val="11"/>
        <rFont val="Arial"/>
        <family val="0"/>
        <charset val="1"/>
      </rPr>
      <t xml:space="preserve">6.6%</t>
    </r>
    <r>
      <rPr>
        <sz val="11"/>
        <rFont val="Linux Libertine G"/>
        <family val="2"/>
      </rPr>
      <t xml:space="preserve">，</t>
    </r>
    <r>
      <rPr>
        <sz val="11"/>
        <rFont val="Arial"/>
        <family val="0"/>
        <charset val="1"/>
      </rPr>
      <t xml:space="preserve">Cameo </t>
    </r>
    <r>
      <rPr>
        <sz val="11"/>
        <rFont val="Linux Libertine G"/>
        <family val="2"/>
      </rPr>
      <t xml:space="preserve">预测 </t>
    </r>
    <r>
      <rPr>
        <sz val="11"/>
        <rFont val="Arial"/>
        <family val="0"/>
        <charset val="1"/>
      </rPr>
      <t xml:space="preserve">3.0%</t>
    </r>
    <r>
      <rPr>
        <sz val="11"/>
        <rFont val="Linux Libertine G"/>
        <family val="2"/>
      </rPr>
      <t xml:space="preserve">，实际 </t>
    </r>
    <r>
      <rPr>
        <sz val="11"/>
        <rFont val="Arial"/>
        <family val="0"/>
        <charset val="1"/>
      </rPr>
      <t xml:space="preserve">2.8%</t>
    </r>
  </si>
  <si>
    <t xml:space="preserve">已经在卖的车，定价和排产前必测</t>
  </si>
  <si>
    <t xml:space="preserve">生产</t>
  </si>
  <si>
    <r>
      <rPr>
        <sz val="11"/>
        <rFont val="Linux Libertine G"/>
        <family val="2"/>
      </rPr>
      <t xml:space="preserve">排产公式：份额 </t>
    </r>
    <r>
      <rPr>
        <sz val="11"/>
        <rFont val="Linux Libertine G"/>
        <family val="2"/>
        <charset val="1"/>
      </rPr>
      <t xml:space="preserve">× </t>
    </r>
    <r>
      <rPr>
        <sz val="11"/>
        <rFont val="Linux Libertine G"/>
        <family val="2"/>
      </rPr>
      <t xml:space="preserve">全行业实际销量</t>
    </r>
  </si>
  <si>
    <r>
      <rPr>
        <sz val="11"/>
        <rFont val="Arial"/>
        <family val="0"/>
        <charset val="1"/>
      </rPr>
      <t xml:space="preserve">Cafav 6.6% × 10,339K ≈ 682K</t>
    </r>
    <r>
      <rPr>
        <sz val="11"/>
        <rFont val="Linux Libertine G"/>
        <family val="2"/>
      </rPr>
      <t xml:space="preserve">，实际 </t>
    </r>
    <r>
      <rPr>
        <sz val="11"/>
        <rFont val="Arial"/>
        <family val="0"/>
        <charset val="1"/>
      </rPr>
      <t xml:space="preserve">686K</t>
    </r>
  </si>
  <si>
    <t xml:space="preserve">用这个公式排产，不要用预测的需求</t>
  </si>
  <si>
    <t xml:space="preserve">Y3</t>
  </si>
  <si>
    <r>
      <rPr>
        <sz val="11"/>
        <rFont val="Linux Libertine G"/>
        <family val="2"/>
      </rPr>
      <t xml:space="preserve">新车用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定价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</si>
  <si>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测出对价格不敏感；定 </t>
    </r>
    <r>
      <rPr>
        <sz val="11"/>
        <rFont val="Arial"/>
        <family val="0"/>
        <charset val="1"/>
      </rPr>
      <t xml:space="preserve">$31K </t>
    </r>
    <r>
      <rPr>
        <sz val="11"/>
        <rFont val="Linux Libertine G"/>
        <family val="2"/>
      </rPr>
      <t xml:space="preserve">后仍缺货超过 </t>
    </r>
    <r>
      <rPr>
        <sz val="11"/>
        <rFont val="Arial"/>
        <family val="0"/>
        <charset val="1"/>
      </rPr>
      <t xml:space="preserve">30%</t>
    </r>
  </si>
  <si>
    <r>
      <rPr>
        <sz val="11"/>
        <rFont val="Linux Libertine G"/>
        <family val="2"/>
      </rPr>
      <t xml:space="preserve">新车或新版上市前用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测价格区间</t>
    </r>
  </si>
  <si>
    <t xml:space="preserve">定价</t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</si>
  <si>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加营销，不靠降价</t>
    </r>
  </si>
  <si>
    <r>
      <rPr>
        <sz val="11"/>
        <rFont val="Arial"/>
        <family val="0"/>
        <charset val="1"/>
      </rPr>
      <t xml:space="preserve">Y3 Crash $23K + </t>
    </r>
    <r>
      <rPr>
        <sz val="11"/>
        <rFont val="Linux Libertine G"/>
        <family val="2"/>
      </rPr>
      <t xml:space="preserve">营销 → </t>
    </r>
    <r>
      <rPr>
        <sz val="11"/>
        <rFont val="Arial"/>
        <family val="0"/>
        <charset val="1"/>
      </rPr>
      <t xml:space="preserve">+$500M</t>
    </r>
    <r>
      <rPr>
        <sz val="11"/>
        <rFont val="Linux Libertine G"/>
        <family val="2"/>
      </rPr>
      <t xml:space="preserve">，降价 → −</t>
    </r>
    <r>
      <rPr>
        <sz val="11"/>
        <rFont val="Arial"/>
        <family val="0"/>
        <charset val="1"/>
      </rPr>
      <t xml:space="preserve">$134M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Y4 Crash </t>
    </r>
    <r>
      <rPr>
        <sz val="11"/>
        <rFont val="Linux Libertine G"/>
        <family val="2"/>
      </rPr>
      <t xml:space="preserve">降价 → −</t>
    </r>
    <r>
      <rPr>
        <sz val="11"/>
        <rFont val="Arial"/>
        <family val="0"/>
        <charset val="1"/>
      </rPr>
      <t xml:space="preserve">$84M</t>
    </r>
  </si>
  <si>
    <t xml:space="preserve">需求大于供给时提价，同时加营销</t>
  </si>
  <si>
    <t xml:space="preserve">Y3–Y4</t>
  </si>
  <si>
    <t xml:space="preserve">用增发代替债务</t>
  </si>
  <si>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增发 </t>
    </r>
    <r>
      <rPr>
        <sz val="11"/>
        <rFont val="Arial"/>
        <family val="0"/>
        <charset val="1"/>
      </rPr>
      <t xml:space="preserve">$2.5B </t>
    </r>
    <r>
      <rPr>
        <sz val="11"/>
        <rFont val="Linux Libertine G"/>
        <family val="2"/>
      </rPr>
      <t xml:space="preserve">后股价 </t>
    </r>
    <r>
      <rPr>
        <sz val="11"/>
        <rFont val="Arial"/>
        <family val="0"/>
        <charset val="1"/>
      </rPr>
      <t xml:space="preserve">+69%</t>
    </r>
    <r>
      <rPr>
        <sz val="11"/>
        <rFont val="Linux Libertine G"/>
        <family val="2"/>
      </rPr>
      <t xml:space="preserve">，市值升到第 </t>
    </r>
    <r>
      <rPr>
        <sz val="11"/>
        <rFont val="Arial"/>
        <family val="0"/>
        <charset val="1"/>
      </rPr>
      <t xml:space="preserve">1</t>
    </r>
  </si>
  <si>
    <r>
      <rPr>
        <sz val="11"/>
        <rFont val="Linux Libertine G"/>
        <family val="2"/>
      </rPr>
      <t xml:space="preserve">开局就用增发还掉 </t>
    </r>
    <r>
      <rPr>
        <sz val="11"/>
        <rFont val="Linux Libertine G"/>
        <family val="2"/>
        <charset val="1"/>
      </rPr>
      <t xml:space="preserve">7.5% </t>
    </r>
    <r>
      <rPr>
        <sz val="11"/>
        <rFont val="Linux Libertine G"/>
        <family val="2"/>
      </rPr>
      <t xml:space="preserve">的短贷，不发债</t>
    </r>
  </si>
  <si>
    <r>
      <rPr>
        <sz val="11"/>
        <rFont val="Linux Libertine G"/>
        <family val="2"/>
      </rPr>
      <t xml:space="preserve">营销占营收约 </t>
    </r>
    <r>
      <rPr>
        <sz val="11"/>
        <rFont val="Linux Libertine G"/>
        <family val="2"/>
        <charset val="1"/>
      </rPr>
      <t xml:space="preserve">2%</t>
    </r>
  </si>
  <si>
    <r>
      <rPr>
        <sz val="11"/>
        <rFont val="Arial"/>
        <family val="0"/>
        <charset val="1"/>
      </rPr>
      <t xml:space="preserve">Firm Preference 10.8% → 20.4%</t>
    </r>
    <r>
      <rPr>
        <sz val="11"/>
        <rFont val="Linux Libertine G"/>
        <family val="2"/>
      </rPr>
      <t xml:space="preserve">，第 </t>
    </r>
    <r>
      <rPr>
        <sz val="11"/>
        <rFont val="Arial"/>
        <family val="0"/>
        <charset val="1"/>
      </rPr>
      <t xml:space="preserve">1</t>
    </r>
  </si>
  <si>
    <r>
      <rPr>
        <sz val="11"/>
        <rFont val="Linux Libertine G"/>
        <family val="2"/>
      </rPr>
      <t xml:space="preserve">营销至少占营收 </t>
    </r>
    <r>
      <rPr>
        <sz val="11"/>
        <rFont val="Linux Libertine G"/>
        <family val="2"/>
        <charset val="1"/>
      </rPr>
      <t xml:space="preserve">2%</t>
    </r>
  </si>
  <si>
    <t xml:space="preserve">产品</t>
  </si>
  <si>
    <t xml:space="preserve">先对准尺寸</t>
  </si>
  <si>
    <r>
      <rPr>
        <sz val="11"/>
        <rFont val="Arial"/>
        <family val="0"/>
        <charset val="1"/>
      </rPr>
      <t xml:space="preserve">Fantasy </t>
    </r>
    <r>
      <rPr>
        <sz val="11"/>
        <rFont val="Linux Libertine G"/>
        <family val="2"/>
      </rPr>
      <t xml:space="preserve">尺寸 </t>
    </r>
    <r>
      <rPr>
        <sz val="11"/>
        <rFont val="Arial"/>
        <family val="0"/>
        <charset val="1"/>
      </rPr>
      <t xml:space="preserve">40</t>
    </r>
    <r>
      <rPr>
        <sz val="11"/>
        <rFont val="Linux Libertine G"/>
        <family val="2"/>
      </rPr>
      <t xml:space="preserve">，</t>
    </r>
    <r>
      <rPr>
        <sz val="11"/>
        <rFont val="Arial"/>
        <family val="0"/>
        <charset val="1"/>
      </rPr>
      <t xml:space="preserve">2F </t>
    </r>
    <r>
      <rPr>
        <sz val="11"/>
        <rFont val="Linux Libertine G"/>
        <family val="2"/>
      </rPr>
      <t xml:space="preserve">第 </t>
    </r>
    <r>
      <rPr>
        <sz val="11"/>
        <rFont val="Arial"/>
        <family val="0"/>
        <charset val="1"/>
      </rPr>
      <t xml:space="preserve">1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Cafav 38 → 40 + Safety 5</t>
    </r>
    <r>
      <rPr>
        <sz val="11"/>
        <rFont val="Linux Libertine G"/>
        <family val="2"/>
      </rPr>
      <t xml:space="preserve">，</t>
    </r>
    <r>
      <rPr>
        <sz val="11"/>
        <rFont val="Arial"/>
        <family val="0"/>
        <charset val="1"/>
      </rPr>
      <t xml:space="preserve">Likely to buy 14.2% → 24.3%</t>
    </r>
  </si>
  <si>
    <r>
      <rPr>
        <sz val="11"/>
        <rFont val="Linux Libertine G"/>
        <family val="2"/>
      </rPr>
      <t xml:space="preserve">先把尺寸做到偏好区间中间，再改 </t>
    </r>
    <r>
      <rPr>
        <sz val="11"/>
        <rFont val="Linux Libertine G"/>
        <family val="2"/>
        <charset val="1"/>
      </rPr>
      <t xml:space="preserve">ISSQ</t>
    </r>
  </si>
  <si>
    <t xml:space="preserve">Y2–Y4</t>
  </si>
  <si>
    <t xml:space="preserve">抢先进入没人做的细分市场</t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</si>
  <si>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在 </t>
    </r>
    <r>
      <rPr>
        <sz val="11"/>
        <rFont val="Arial"/>
        <family val="0"/>
        <charset val="1"/>
      </rPr>
      <t xml:space="preserve">5U </t>
    </r>
    <r>
      <rPr>
        <sz val="11"/>
        <rFont val="Linux Libertine G"/>
        <family val="2"/>
      </rPr>
      <t xml:space="preserve">份额 </t>
    </r>
    <r>
      <rPr>
        <sz val="11"/>
        <rFont val="Arial"/>
        <family val="0"/>
        <charset val="1"/>
      </rPr>
      <t xml:space="preserve">47.3%</t>
    </r>
    <r>
      <rPr>
        <sz val="11"/>
        <rFont val="Linux Libertine G"/>
        <family val="2"/>
      </rPr>
      <t xml:space="preserve">，单车贡献约 </t>
    </r>
    <r>
      <rPr>
        <sz val="11"/>
        <rFont val="Arial"/>
        <family val="0"/>
        <charset val="1"/>
      </rPr>
      <t xml:space="preserve">$7,300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Y3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</si>
  <si>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年就开始开发新类别的车</t>
    </r>
  </si>
  <si>
    <t xml:space="preserve">Skill</t>
  </si>
  <si>
    <r>
      <rPr>
        <sz val="11"/>
        <rFont val="Arial"/>
        <family val="0"/>
        <charset val="1"/>
      </rPr>
      <t xml:space="preserve">pricing skill </t>
    </r>
    <r>
      <rPr>
        <sz val="11"/>
        <rFont val="Linux Libertine G"/>
        <family val="2"/>
      </rPr>
      <t xml:space="preserve">复查定价</t>
    </r>
  </si>
  <si>
    <r>
      <rPr>
        <sz val="11"/>
        <rFont val="Linux Libertine G"/>
        <family val="2"/>
      </rPr>
      <t xml:space="preserve">发现 </t>
    </r>
    <r>
      <rPr>
        <sz val="11"/>
        <rFont val="Linux Libertine G"/>
        <family val="2"/>
        <charset val="1"/>
      </rPr>
      <t xml:space="preserve">Codex </t>
    </r>
    <r>
      <rPr>
        <sz val="11"/>
        <rFont val="Linux Libertine G"/>
        <family val="2"/>
      </rPr>
      <t xml:space="preserve">给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定的 </t>
    </r>
    <r>
      <rPr>
        <sz val="11"/>
        <rFont val="Linux Libertine G"/>
        <family val="2"/>
        <charset val="1"/>
      </rPr>
      <t xml:space="preserve">$24,900 </t>
    </r>
    <r>
      <rPr>
        <sz val="11"/>
        <rFont val="Linux Libertine G"/>
        <family val="2"/>
      </rPr>
      <t xml:space="preserve">扣掉折扣后低于成本</t>
    </r>
  </si>
  <si>
    <r>
      <rPr>
        <sz val="11"/>
        <rFont val="Linux Libertine G"/>
        <family val="2"/>
      </rPr>
      <t xml:space="preserve">每年定价后用 </t>
    </r>
    <r>
      <rPr>
        <sz val="11"/>
        <rFont val="Linux Libertine G"/>
        <family val="2"/>
        <charset val="1"/>
      </rPr>
      <t xml:space="preserve">pricing skill </t>
    </r>
    <r>
      <rPr>
        <sz val="11"/>
        <rFont val="Linux Libertine G"/>
        <family val="2"/>
      </rPr>
      <t xml:space="preserve">复查</t>
    </r>
  </si>
  <si>
    <r>
      <rPr>
        <sz val="11"/>
        <rFont val="Arial"/>
        <family val="0"/>
        <charset val="1"/>
      </rPr>
      <t xml:space="preserve">startup-financial-modeling </t>
    </r>
    <r>
      <rPr>
        <sz val="11"/>
        <rFont val="Linux Libertine G"/>
        <family val="2"/>
      </rPr>
      <t xml:space="preserve">做三情景现金检查</t>
    </r>
  </si>
  <si>
    <r>
      <rPr>
        <sz val="11"/>
        <rFont val="Linux Libertine G"/>
        <family val="2"/>
      </rPr>
      <t xml:space="preserve">算出销量低于计划约 </t>
    </r>
    <r>
      <rPr>
        <sz val="11"/>
        <rFont val="Linux Libertine G"/>
        <family val="2"/>
        <charset val="1"/>
      </rPr>
      <t xml:space="preserve">85% </t>
    </r>
    <r>
      <rPr>
        <sz val="11"/>
        <rFont val="Linux Libertine G"/>
        <family val="2"/>
      </rPr>
      <t xml:space="preserve">时才会触发自动借贷</t>
    </r>
  </si>
  <si>
    <t xml:space="preserve">排产和现金都按保守情景检查</t>
  </si>
  <si>
    <t xml:space="preserve">Y4</t>
  </si>
  <si>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超产能 </t>
    </r>
    <r>
      <rPr>
        <sz val="11"/>
        <rFont val="Arial"/>
        <family val="0"/>
        <charset val="1"/>
      </rPr>
      <t xml:space="preserve">45%</t>
    </r>
  </si>
  <si>
    <r>
      <rPr>
        <sz val="11"/>
        <rFont val="Linux Libertine G"/>
        <family val="2"/>
      </rPr>
      <t xml:space="preserve">超产能费 </t>
    </r>
    <r>
      <rPr>
        <sz val="11"/>
        <rFont val="Linux Libertine G"/>
        <family val="2"/>
        <charset val="1"/>
      </rPr>
      <t xml:space="preserve">$1,544M</t>
    </r>
    <r>
      <rPr>
        <sz val="11"/>
        <rFont val="Linux Libertine G"/>
        <family val="2"/>
      </rPr>
      <t xml:space="preserve">，净利掉了一半</t>
    </r>
  </si>
  <si>
    <r>
      <rPr>
        <sz val="11"/>
        <rFont val="Linux Libertine G"/>
        <family val="2"/>
      </rPr>
      <t xml:space="preserve">超产能最多 </t>
    </r>
    <r>
      <rPr>
        <sz val="11"/>
        <rFont val="Linux Libertine G"/>
        <family val="2"/>
        <charset val="1"/>
      </rPr>
      <t xml:space="preserve">10%</t>
    </r>
  </si>
  <si>
    <t xml:space="preserve">Y1</t>
  </si>
  <si>
    <t xml:space="preserve">按系统预测的需求排产</t>
  </si>
  <si>
    <r>
      <rPr>
        <sz val="11"/>
        <rFont val="Arial"/>
        <family val="0"/>
        <charset val="1"/>
      </rPr>
      <t xml:space="preserve">Y2 </t>
    </r>
    <r>
      <rPr>
        <sz val="11"/>
        <rFont val="Linux Libertine G"/>
        <family val="2"/>
      </rPr>
      <t xml:space="preserve">实际是预测的 </t>
    </r>
    <r>
      <rPr>
        <sz val="11"/>
        <rFont val="Arial"/>
        <family val="0"/>
        <charset val="1"/>
      </rPr>
      <t xml:space="preserve">85%</t>
    </r>
    <r>
      <rPr>
        <sz val="11"/>
        <rFont val="Linux Libertine G"/>
        <family val="2"/>
      </rPr>
      <t xml:space="preserve">，</t>
    </r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是 </t>
    </r>
    <r>
      <rPr>
        <sz val="11"/>
        <rFont val="Arial"/>
        <family val="0"/>
        <charset val="1"/>
      </rPr>
      <t xml:space="preserve">76%</t>
    </r>
    <r>
      <rPr>
        <sz val="11"/>
        <rFont val="Linux Libertine G"/>
        <family val="2"/>
      </rPr>
      <t xml:space="preserve">，两年都压了库存</t>
    </r>
  </si>
  <si>
    <t xml:space="preserve">用全行业总产量估市场规模</t>
  </si>
  <si>
    <t xml:space="preserve">不融资，等系统自动借</t>
  </si>
  <si>
    <r>
      <rPr>
        <sz val="11"/>
        <rFont val="Arial"/>
        <family val="0"/>
        <charset val="1"/>
      </rPr>
      <t xml:space="preserve">Y2 </t>
    </r>
    <r>
      <rPr>
        <sz val="11"/>
        <rFont val="Linux Libertine G"/>
        <family val="2"/>
      </rPr>
      <t xml:space="preserve">被借了 </t>
    </r>
    <r>
      <rPr>
        <sz val="11"/>
        <rFont val="Arial"/>
        <family val="0"/>
        <charset val="1"/>
      </rPr>
      <t xml:space="preserve">$2,492M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7.5%</t>
    </r>
    <r>
      <rPr>
        <sz val="11"/>
        <rFont val="Linux Libertine G"/>
        <family val="2"/>
      </rPr>
      <t xml:space="preserve">）</t>
    </r>
  </si>
  <si>
    <t xml:space="preserve">先算现金缺口，不够就主动增发</t>
  </si>
  <si>
    <t xml:space="preserve">Y2</t>
  </si>
  <si>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发 </t>
    </r>
    <r>
      <rPr>
        <sz val="11"/>
        <rFont val="Arial"/>
        <family val="0"/>
        <charset val="1"/>
      </rPr>
      <t xml:space="preserve">$7.5B </t>
    </r>
    <r>
      <rPr>
        <sz val="11"/>
        <rFont val="Linux Libertine G"/>
        <family val="2"/>
      </rPr>
      <t xml:space="preserve">债券</t>
    </r>
  </si>
  <si>
    <r>
      <rPr>
        <sz val="11"/>
        <rFont val="Linux Libertine G"/>
        <family val="2"/>
      </rPr>
      <t xml:space="preserve">负债变成七家最高，每年利息约 </t>
    </r>
    <r>
      <rPr>
        <sz val="11"/>
        <rFont val="Linux Libertine G"/>
        <family val="2"/>
        <charset val="1"/>
      </rPr>
      <t xml:space="preserve">$413M</t>
    </r>
  </si>
  <si>
    <t xml:space="preserve">不发债</t>
  </si>
  <si>
    <t xml:space="preserve">Y1–Y3</t>
  </si>
  <si>
    <r>
      <rPr>
        <sz val="11"/>
        <rFont val="Linux Libertine G"/>
        <family val="2"/>
      </rPr>
      <t xml:space="preserve">现金不宽裕时买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</si>
  <si>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买 </t>
    </r>
    <r>
      <rPr>
        <sz val="11"/>
        <rFont val="Arial"/>
        <family val="0"/>
        <charset val="1"/>
      </rPr>
      <t xml:space="preserve">$2B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CD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3%</t>
    </r>
    <r>
      <rPr>
        <sz val="11"/>
        <rFont val="Linux Libertine G"/>
        <family val="2"/>
      </rPr>
      <t xml:space="preserve">），系统又借了 </t>
    </r>
    <r>
      <rPr>
        <sz val="11"/>
        <rFont val="Arial"/>
        <family val="0"/>
        <charset val="1"/>
      </rPr>
      <t xml:space="preserve">$751M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7.5%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</si>
  <si>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现金宽裕时才买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</si>
  <si>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Arial"/>
        <family val="0"/>
        <charset val="1"/>
      </rPr>
      <t xml:space="preserve">minor </t>
    </r>
    <r>
      <rPr>
        <sz val="11"/>
        <rFont val="Linux Libertine G"/>
        <family val="2"/>
      </rPr>
      <t xml:space="preserve">只改 </t>
    </r>
    <r>
      <rPr>
        <sz val="11"/>
        <rFont val="Arial"/>
        <family val="0"/>
        <charset val="1"/>
      </rPr>
      <t xml:space="preserve">ISSQ</t>
    </r>
    <r>
      <rPr>
        <sz val="11"/>
        <rFont val="Linux Libertine G"/>
        <family val="2"/>
      </rPr>
      <t xml:space="preserve">、不改尺寸</t>
    </r>
  </si>
  <si>
    <r>
      <rPr>
        <sz val="11"/>
        <rFont val="Arial"/>
        <family val="0"/>
        <charset val="1"/>
      </rPr>
      <t xml:space="preserve">Y2 Cafav 2F </t>
    </r>
    <r>
      <rPr>
        <sz val="11"/>
        <rFont val="Linux Libertine G"/>
        <family val="2"/>
      </rPr>
      <t xml:space="preserve">份额 </t>
    </r>
    <r>
      <rPr>
        <sz val="11"/>
        <rFont val="Arial"/>
        <family val="0"/>
        <charset val="1"/>
      </rPr>
      <t xml:space="preserve">13.1% → 10.9%</t>
    </r>
  </si>
  <si>
    <r>
      <rPr>
        <sz val="11"/>
        <rFont val="Linux Libertine G"/>
        <family val="2"/>
      </rPr>
      <t xml:space="preserve">尺寸差得多就直接做 </t>
    </r>
    <r>
      <rPr>
        <sz val="11"/>
        <rFont val="Linux Libertine G"/>
        <family val="2"/>
        <charset val="1"/>
      </rPr>
      <t xml:space="preserve">major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±10</t>
    </r>
    <r>
      <rPr>
        <sz val="11"/>
        <rFont val="Linux Libertine G"/>
        <family val="2"/>
      </rPr>
      <t xml:space="preserve">）</t>
    </r>
  </si>
  <si>
    <t xml:space="preserve">研发</t>
  </si>
  <si>
    <t xml:space="preserve">用研发中心做降成本</t>
  </si>
  <si>
    <r>
      <rPr>
        <sz val="11"/>
        <rFont val="Arial"/>
        <family val="0"/>
        <charset val="1"/>
      </rPr>
      <t xml:space="preserve">Y1 Crash </t>
    </r>
    <r>
      <rPr>
        <sz val="11"/>
        <rFont val="Linux Libertine G"/>
        <family val="2"/>
      </rPr>
      <t xml:space="preserve">每辆只省 </t>
    </r>
    <r>
      <rPr>
        <sz val="11"/>
        <rFont val="Arial"/>
        <family val="0"/>
        <charset val="1"/>
      </rPr>
      <t xml:space="preserve">$222</t>
    </r>
    <r>
      <rPr>
        <sz val="11"/>
        <rFont val="Linux Libertine G"/>
        <family val="2"/>
      </rPr>
      <t xml:space="preserve">，产品匹配仍然最差</t>
    </r>
  </si>
  <si>
    <t xml:space="preserve">中心优先用来提高产品匹配</t>
  </si>
  <si>
    <r>
      <rPr>
        <sz val="11"/>
        <rFont val="Linux Libertine G"/>
        <family val="2"/>
      </rPr>
      <t xml:space="preserve">营销只占营收 </t>
    </r>
    <r>
      <rPr>
        <sz val="11"/>
        <rFont val="Linux Libertine G"/>
        <family val="2"/>
        <charset val="1"/>
      </rPr>
      <t xml:space="preserve">1%</t>
    </r>
  </si>
  <si>
    <r>
      <rPr>
        <sz val="11"/>
        <rFont val="Arial"/>
        <family val="0"/>
        <charset val="1"/>
      </rPr>
      <t xml:space="preserve">Firm Preference </t>
    </r>
    <r>
      <rPr>
        <sz val="11"/>
        <rFont val="Linux Libertine G"/>
        <family val="2"/>
      </rPr>
      <t xml:space="preserve">连续两年下降</t>
    </r>
  </si>
  <si>
    <r>
      <rPr>
        <sz val="11"/>
        <rFont val="Linux Libertine G"/>
        <family val="2"/>
      </rPr>
      <t xml:space="preserve">至少 </t>
    </r>
    <r>
      <rPr>
        <sz val="11"/>
        <rFont val="Linux Libertine G"/>
        <family val="2"/>
        <charset val="1"/>
      </rPr>
      <t xml:space="preserve">2%</t>
    </r>
  </si>
  <si>
    <t xml:space="preserve">Y1–Y2</t>
  </si>
  <si>
    <t xml:space="preserve">没买必买的报告</t>
  </si>
  <si>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没买；</t>
    </r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一开始只买了 </t>
    </r>
    <r>
      <rPr>
        <sz val="11"/>
        <rFont val="Arial"/>
        <family val="0"/>
        <charset val="1"/>
      </rPr>
      <t xml:space="preserve">Microsegment</t>
    </r>
  </si>
  <si>
    <t xml:space="preserve">开局第一件事就是买报告</t>
  </si>
  <si>
    <r>
      <rPr>
        <sz val="11"/>
        <rFont val="Arial"/>
        <family val="0"/>
        <charset val="1"/>
      </rPr>
      <t xml:space="preserve">Y1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Y3</t>
    </r>
  </si>
  <si>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没清掉要升级车型的库存</t>
    </r>
  </si>
  <si>
    <r>
      <rPr>
        <sz val="11"/>
        <rFont val="Linux Libertine G"/>
        <family val="2"/>
      </rPr>
      <t xml:space="preserve">剩 </t>
    </r>
    <r>
      <rPr>
        <sz val="11"/>
        <rFont val="Linux Libertine G"/>
        <family val="2"/>
        <charset val="1"/>
      </rPr>
      <t xml:space="preserve">306K </t>
    </r>
    <r>
      <rPr>
        <sz val="11"/>
        <rFont val="Linux Libertine G"/>
        <family val="2"/>
      </rPr>
      <t xml:space="preserve">辆；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处理掉要损失 </t>
    </r>
    <r>
      <rPr>
        <sz val="11"/>
        <rFont val="Linux Libertine G"/>
        <family val="2"/>
        <charset val="1"/>
      </rPr>
      <t xml:space="preserve">$412M</t>
    </r>
  </si>
  <si>
    <t xml:space="preserve">升级前一年少排产</t>
  </si>
  <si>
    <r>
      <rPr>
        <sz val="11"/>
        <rFont val="Linux Libertine G"/>
        <family val="2"/>
      </rPr>
      <t xml:space="preserve">只看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就定价</t>
    </r>
  </si>
  <si>
    <r>
      <rPr>
        <sz val="11"/>
        <rFont val="Arial"/>
        <family val="0"/>
        <charset val="1"/>
      </rPr>
      <t xml:space="preserve">Y4 Crash </t>
    </r>
    <r>
      <rPr>
        <sz val="11"/>
        <rFont val="Linux Libertine G"/>
        <family val="2"/>
      </rPr>
      <t xml:space="preserve">差点降价，</t>
    </r>
    <r>
      <rPr>
        <sz val="11"/>
        <rFont val="Arial"/>
        <family val="0"/>
        <charset val="1"/>
      </rPr>
      <t xml:space="preserve">Test Market </t>
    </r>
    <r>
      <rPr>
        <sz val="11"/>
        <rFont val="Linux Libertine G"/>
        <family val="2"/>
      </rPr>
      <t xml:space="preserve">显示会少赚 </t>
    </r>
    <r>
      <rPr>
        <sz val="11"/>
        <rFont val="Arial"/>
        <family val="0"/>
        <charset val="1"/>
      </rPr>
      <t xml:space="preserve">$84M</t>
    </r>
  </si>
  <si>
    <r>
      <rPr>
        <sz val="11"/>
        <rFont val="Arial"/>
        <family val="0"/>
        <charset val="1"/>
      </rPr>
      <t xml:space="preserve">Concept Test </t>
    </r>
    <r>
      <rPr>
        <sz val="11"/>
        <rFont val="Linux Libertine G"/>
        <family val="2"/>
      </rPr>
      <t xml:space="preserve">筛选，</t>
    </r>
    <r>
      <rPr>
        <sz val="11"/>
        <rFont val="Arial"/>
        <family val="0"/>
        <charset val="1"/>
      </rPr>
      <t xml:space="preserve">Test Market </t>
    </r>
    <r>
      <rPr>
        <sz val="11"/>
        <rFont val="Linux Libertine G"/>
        <family val="2"/>
      </rPr>
      <t xml:space="preserve">定价</t>
    </r>
  </si>
  <si>
    <t xml:space="preserve">流程</t>
  </si>
  <si>
    <r>
      <rPr>
        <sz val="11"/>
        <rFont val="Linux Libertine G"/>
        <family val="2"/>
      </rPr>
      <t xml:space="preserve">只看 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一种情景</t>
    </r>
  </si>
  <si>
    <r>
      <rPr>
        <sz val="11"/>
        <rFont val="Arial"/>
        <family val="0"/>
        <charset val="1"/>
      </rPr>
      <t xml:space="preserve">Pro-Forma </t>
    </r>
    <r>
      <rPr>
        <sz val="11"/>
        <rFont val="Linux Libertine G"/>
        <family val="2"/>
      </rPr>
      <t xml:space="preserve">每年高估净利约 </t>
    </r>
    <r>
      <rPr>
        <sz val="11"/>
        <rFont val="Arial"/>
        <family val="0"/>
        <charset val="1"/>
      </rPr>
      <t xml:space="preserve">$700M</t>
    </r>
  </si>
  <si>
    <t xml:space="preserve">用三情景检查</t>
  </si>
  <si>
    <r>
      <rPr>
        <sz val="11"/>
        <rFont val="Linux Libertine G"/>
        <family val="2"/>
      </rPr>
      <t xml:space="preserve">让 </t>
    </r>
    <r>
      <rPr>
        <sz val="11"/>
        <rFont val="Linux Libertine G"/>
        <family val="2"/>
        <charset val="1"/>
      </rPr>
      <t xml:space="preserve">Codex </t>
    </r>
    <r>
      <rPr>
        <sz val="11"/>
        <rFont val="Linux Libertine G"/>
        <family val="2"/>
      </rPr>
      <t xml:space="preserve">自动任务自己填决策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</si>
  <si>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定价低于成本、</t>
    </r>
    <r>
      <rPr>
        <sz val="11"/>
        <rFont val="Arial"/>
        <family val="0"/>
        <charset val="1"/>
      </rPr>
      <t xml:space="preserve">Crash </t>
    </r>
    <r>
      <rPr>
        <sz val="11"/>
        <rFont val="Linux Libertine G"/>
        <family val="2"/>
      </rPr>
      <t xml:space="preserve">尺寸改反、没买 </t>
    </r>
    <r>
      <rPr>
        <sz val="11"/>
        <rFont val="Arial"/>
        <family val="0"/>
        <charset val="1"/>
      </rPr>
      <t xml:space="preserve">Focus Group</t>
    </r>
  </si>
  <si>
    <t xml:space="preserve">已经停掉；每次都由人确认</t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</si>
  <si>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20% + </t>
    </r>
    <r>
      <rPr>
        <sz val="11"/>
        <rFont val="Linux Libertine G"/>
        <family val="2"/>
      </rPr>
      <t xml:space="preserve">负债清零</t>
    </r>
  </si>
  <si>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增发 </t>
    </r>
    <r>
      <rPr>
        <sz val="11"/>
        <rFont val="Arial"/>
        <family val="0"/>
        <charset val="1"/>
      </rPr>
      <t xml:space="preserve">$7,480M</t>
    </r>
    <r>
      <rPr>
        <sz val="11"/>
        <rFont val="Linux Libertine G"/>
        <family val="2"/>
      </rPr>
      <t xml:space="preserve">、赎回全部债券：股价 </t>
    </r>
    <r>
      <rPr>
        <sz val="11"/>
        <rFont val="Arial"/>
        <family val="0"/>
        <charset val="1"/>
      </rPr>
      <t xml:space="preserve">$66.38 → $90.71</t>
    </r>
    <r>
      <rPr>
        <sz val="11"/>
        <rFont val="Linux Libertine G"/>
        <family val="2"/>
      </rPr>
      <t xml:space="preserve">，市值 </t>
    </r>
    <r>
      <rPr>
        <sz val="11"/>
        <rFont val="Arial"/>
        <family val="0"/>
        <charset val="1"/>
      </rPr>
      <t xml:space="preserve">$37.4B → $61.4B</t>
    </r>
    <r>
      <rPr>
        <sz val="11"/>
        <rFont val="Linux Libertine G"/>
        <family val="2"/>
      </rPr>
      <t xml:space="preserve">（第 </t>
    </r>
    <r>
      <rPr>
        <sz val="11"/>
        <rFont val="Arial"/>
        <family val="0"/>
        <charset val="1"/>
      </rPr>
      <t xml:space="preserve">1</t>
    </r>
    <r>
      <rPr>
        <sz val="11"/>
        <rFont val="Linux Libertine G"/>
        <family val="2"/>
      </rPr>
      <t xml:space="preserve">），负债为 </t>
    </r>
    <r>
      <rPr>
        <sz val="11"/>
        <rFont val="Arial"/>
        <family val="0"/>
        <charset val="1"/>
      </rPr>
      <t xml:space="preserve">0</t>
    </r>
  </si>
  <si>
    <r>
      <rPr>
        <sz val="11"/>
        <rFont val="Linux Libertine G"/>
        <family val="2"/>
      </rPr>
      <t xml:space="preserve">正式比赛第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年就用增发还债、不发债</t>
    </r>
  </si>
  <si>
    <r>
      <rPr>
        <sz val="11"/>
        <rFont val="Arial"/>
        <family val="0"/>
        <charset val="1"/>
      </rPr>
      <t xml:space="preserve">Cafav </t>
    </r>
    <r>
      <rPr>
        <sz val="11"/>
        <rFont val="Linux Libertine G"/>
        <family val="2"/>
      </rPr>
      <t xml:space="preserve">新版 </t>
    </r>
    <r>
      <rPr>
        <sz val="11"/>
        <rFont val="Arial"/>
        <family val="0"/>
        <charset val="1"/>
      </rPr>
      <t xml:space="preserve">40 / Safety 5</t>
    </r>
  </si>
  <si>
    <r>
      <rPr>
        <sz val="11"/>
        <rFont val="Linux Libertine G"/>
        <family val="2"/>
      </rPr>
      <t xml:space="preserve">销量 </t>
    </r>
    <r>
      <rPr>
        <sz val="11"/>
        <rFont val="Linux Libertine G"/>
        <family val="2"/>
        <charset val="1"/>
      </rPr>
      <t xml:space="preserve">686K → 814K</t>
    </r>
    <r>
      <rPr>
        <sz val="11"/>
        <rFont val="Linux Libertine G"/>
        <family val="2"/>
      </rPr>
      <t xml:space="preserve">（全部卖光、缺货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2F </t>
    </r>
    <r>
      <rPr>
        <sz val="11"/>
        <rFont val="Linux Libertine G"/>
        <family val="2"/>
      </rPr>
      <t xml:space="preserve">的领先车型变成 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的流失被补回来了</t>
    </r>
  </si>
  <si>
    <r>
      <rPr>
        <sz val="11"/>
        <rFont val="Linux Libertine G"/>
        <family val="2"/>
      </rPr>
      <t xml:space="preserve">尺寸做到偏好区间中间 </t>
    </r>
    <r>
      <rPr>
        <sz val="11"/>
        <rFont val="Linux Libertine G"/>
        <family val="2"/>
        <charset val="1"/>
      </rPr>
      <t xml:space="preserve">+ hot button </t>
    </r>
    <r>
      <rPr>
        <sz val="11"/>
        <rFont val="Linux Libertine G"/>
        <family val="2"/>
      </rPr>
      <t xml:space="preserve">做到 </t>
    </r>
    <r>
      <rPr>
        <sz val="11"/>
        <rFont val="Linux Libertine G"/>
        <family val="2"/>
        <charset val="1"/>
      </rPr>
      <t xml:space="preserve">best</t>
    </r>
  </si>
  <si>
    <t xml:space="preserve">Canyon $34,000</t>
  </si>
  <si>
    <r>
      <rPr>
        <sz val="11"/>
        <rFont val="Linux Libertine G"/>
        <family val="2"/>
      </rPr>
      <t xml:space="preserve">卖了 </t>
    </r>
    <r>
      <rPr>
        <sz val="11"/>
        <rFont val="Linux Libertine G"/>
        <family val="2"/>
        <charset val="1"/>
      </rPr>
      <t xml:space="preserve">748K</t>
    </r>
    <r>
      <rPr>
        <sz val="11"/>
        <rFont val="Linux Libertine G"/>
        <family val="2"/>
      </rPr>
      <t xml:space="preserve">，还是缺货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；贡献 </t>
    </r>
    <r>
      <rPr>
        <sz val="11"/>
        <rFont val="Linux Libertine G"/>
        <family val="2"/>
        <charset val="1"/>
      </rPr>
      <t xml:space="preserve">$7,512M</t>
    </r>
    <r>
      <rPr>
        <sz val="11"/>
        <rFont val="Linux Libertine G"/>
        <family val="2"/>
      </rPr>
      <t xml:space="preserve">，四款车里最高</t>
    </r>
  </si>
  <si>
    <t xml:space="preserve">还没摸到价格上限，可以继续提价</t>
  </si>
  <si>
    <r>
      <rPr>
        <sz val="11"/>
        <rFont val="Arial"/>
        <family val="0"/>
        <charset val="1"/>
      </rPr>
      <t xml:space="preserve">Crash </t>
    </r>
    <r>
      <rPr>
        <sz val="11"/>
        <rFont val="Linux Libertine G"/>
        <family val="2"/>
      </rPr>
      <t xml:space="preserve">新版 </t>
    </r>
    <r>
      <rPr>
        <sz val="11"/>
        <rFont val="Arial"/>
        <family val="0"/>
        <charset val="1"/>
      </rPr>
      <t xml:space="preserve">3T @ $23,300</t>
    </r>
  </si>
  <si>
    <r>
      <rPr>
        <sz val="11"/>
        <rFont val="Linux Libertine G"/>
        <family val="2"/>
      </rPr>
      <t xml:space="preserve">销量 </t>
    </r>
    <r>
      <rPr>
        <sz val="11"/>
        <rFont val="Linux Libertine G"/>
        <family val="2"/>
        <charset val="1"/>
      </rPr>
      <t xml:space="preserve">402K → 462K</t>
    </r>
    <r>
      <rPr>
        <sz val="11"/>
        <rFont val="Linux Libertine G"/>
        <family val="2"/>
      </rPr>
      <t xml:space="preserve">，全部卖光、缺货 </t>
    </r>
    <r>
      <rPr>
        <sz val="11"/>
        <rFont val="Linux Libertine G"/>
        <family val="2"/>
        <charset val="1"/>
      </rPr>
      <t xml:space="preserve">&gt;30%</t>
    </r>
  </si>
  <si>
    <r>
      <rPr>
        <sz val="11"/>
        <rFont val="Linux Libertine G"/>
        <family val="2"/>
      </rPr>
      <t xml:space="preserve">维持价格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新版配置对上 </t>
    </r>
    <r>
      <rPr>
        <sz val="11"/>
        <rFont val="Linux Libertine G"/>
        <family val="2"/>
        <charset val="1"/>
      </rPr>
      <t xml:space="preserve">3T</t>
    </r>
  </si>
  <si>
    <t xml:space="preserve">⏳</t>
  </si>
  <si>
    <r>
      <rPr>
        <sz val="11"/>
        <rFont val="Arial"/>
        <family val="0"/>
        <charset val="1"/>
      </rPr>
      <t xml:space="preserve">Cameo 14 / ISSQ 2</t>
    </r>
    <r>
      <rPr>
        <sz val="11"/>
        <rFont val="Linux Libertine G"/>
        <family val="2"/>
      </rPr>
      <t xml:space="preserve">（两头都不讨好）</t>
    </r>
  </si>
  <si>
    <r>
      <rPr>
        <sz val="11"/>
        <rFont val="Linux Libertine G"/>
        <family val="2"/>
      </rPr>
      <t xml:space="preserve">卖了 </t>
    </r>
    <r>
      <rPr>
        <sz val="11"/>
        <rFont val="Linux Libertine G"/>
        <family val="2"/>
        <charset val="1"/>
      </rPr>
      <t xml:space="preserve">330K</t>
    </r>
    <r>
      <rPr>
        <sz val="11"/>
        <rFont val="Linux Libertine G"/>
        <family val="2"/>
      </rPr>
      <t xml:space="preserve">（全部卖光），但每款车都缺货，看不出定位好坏；贡献 </t>
    </r>
    <r>
      <rPr>
        <sz val="11"/>
        <rFont val="Linux Libertine G"/>
        <family val="2"/>
        <charset val="1"/>
      </rPr>
      <t xml:space="preserve">$628M</t>
    </r>
    <r>
      <rPr>
        <sz val="11"/>
        <rFont val="Linux Libertine G"/>
        <family val="2"/>
      </rPr>
      <t xml:space="preserve">，四款里最低</t>
    </r>
  </si>
  <si>
    <r>
      <rPr>
        <sz val="11"/>
        <rFont val="Linux Libertine G"/>
        <family val="2"/>
      </rPr>
      <t xml:space="preserve">这个实验在练习轮没有结论；正式比赛直接做 </t>
    </r>
    <r>
      <rPr>
        <sz val="11"/>
        <rFont val="Linux Libertine G"/>
        <family val="2"/>
        <charset val="1"/>
      </rPr>
      <t xml:space="preserve">major </t>
    </r>
    <r>
      <rPr>
        <sz val="11"/>
        <rFont val="Linux Libertine G"/>
        <family val="2"/>
      </rPr>
      <t xml:space="preserve">到 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中间尺寸</t>
    </r>
  </si>
  <si>
    <r>
      <rPr>
        <sz val="11"/>
        <rFont val="Linux Libertine G"/>
        <family val="2"/>
      </rPr>
      <t xml:space="preserve">现金宽裕时买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</si>
  <si>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Arial"/>
        <family val="0"/>
        <charset val="1"/>
      </rPr>
      <t xml:space="preserve">$3B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CD </t>
    </r>
    <r>
      <rPr>
        <sz val="11"/>
        <rFont val="Linux Libertine G"/>
        <family val="2"/>
      </rPr>
      <t xml:space="preserve">拿到 </t>
    </r>
    <r>
      <rPr>
        <sz val="11"/>
        <rFont val="Arial"/>
        <family val="0"/>
        <charset val="1"/>
      </rPr>
      <t xml:space="preserve">$105M </t>
    </r>
    <r>
      <rPr>
        <sz val="11"/>
        <rFont val="Linux Libertine G"/>
        <family val="2"/>
      </rPr>
      <t xml:space="preserve">利息，期末现金 </t>
    </r>
    <r>
      <rPr>
        <sz val="11"/>
        <rFont val="Arial"/>
        <family val="0"/>
        <charset val="1"/>
      </rPr>
      <t xml:space="preserve">$8.8B</t>
    </r>
    <r>
      <rPr>
        <sz val="11"/>
        <rFont val="Linux Libertine G"/>
        <family val="2"/>
      </rPr>
      <t xml:space="preserve">，没有触发借贷</t>
    </r>
  </si>
  <si>
    <t xml:space="preserve">现金宽裕（保守情景也够用）时才买</t>
  </si>
  <si>
    <t xml:space="preserve">排产公式（第二次验证）</t>
  </si>
  <si>
    <r>
      <rPr>
        <sz val="11"/>
        <rFont val="Linux Libertine G"/>
        <family val="2"/>
      </rPr>
      <t xml:space="preserve">全部车型缺货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：实际份额都比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高（</t>
    </r>
    <r>
      <rPr>
        <sz val="11"/>
        <rFont val="Linux Libertine G"/>
        <family val="2"/>
        <charset val="1"/>
      </rPr>
      <t xml:space="preserve">Cafav 7.9% vs 6.9%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Canyon 7.2% vs 4.6%</t>
    </r>
    <r>
      <rPr>
        <sz val="11"/>
        <rFont val="Linux Libertine G"/>
        <family val="2"/>
      </rPr>
      <t xml:space="preserve">）。原因：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测的是升级前的旧车</t>
    </r>
  </si>
  <si>
    <r>
      <rPr>
        <sz val="11"/>
        <rFont val="Linux Libertine G"/>
        <family val="2"/>
      </rPr>
      <t xml:space="preserve">车型升级当年，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会低估需求；要按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往上调，并提前扩产</t>
    </r>
  </si>
  <si>
    <t xml:space="preserve">⬜</t>
  </si>
  <si>
    <t xml:space="preserve">投资</t>
  </si>
  <si>
    <t xml:space="preserve">技术投资的回报</t>
  </si>
  <si>
    <r>
      <rPr>
        <sz val="11"/>
        <rFont val="Linux Libertine G"/>
        <family val="2"/>
      </rPr>
      <t xml:space="preserve">练习轮到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结束，明年才生效的都看不到</t>
    </r>
  </si>
  <si>
    <r>
      <rPr>
        <sz val="11"/>
        <rFont val="Linux Libertine G"/>
        <family val="2"/>
      </rPr>
      <t xml:space="preserve">正式比赛第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年就投</t>
    </r>
  </si>
  <si>
    <t xml:space="preserve">正式比赛</t>
  </si>
  <si>
    <t xml:space="preserve">渠道</t>
  </si>
  <si>
    <t xml:space="preserve">加经销商</t>
  </si>
  <si>
    <r>
      <rPr>
        <sz val="11"/>
        <rFont val="Linux Libertine G"/>
        <family val="2"/>
      </rPr>
      <t xml:space="preserve">看每家经销商毛利和 </t>
    </r>
    <r>
      <rPr>
        <sz val="11"/>
        <rFont val="Linux Libertine G"/>
        <family val="2"/>
        <charset val="1"/>
      </rPr>
      <t xml:space="preserve">Dealer Rating</t>
    </r>
  </si>
  <si>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个研发中心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新车（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卡车 </t>
    </r>
    <r>
      <rPr>
        <sz val="11"/>
        <rFont val="Linux Libertine G"/>
        <family val="2"/>
        <charset val="1"/>
      </rPr>
      <t xml:space="preserve">/ 4M Minivan / 5A AEV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</si>
  <si>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新类别要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年才能上市</t>
    </r>
  </si>
  <si>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年就开始</t>
    </r>
  </si>
  <si>
    <r>
      <rPr>
        <sz val="11"/>
        <rFont val="Linux Libertine G"/>
        <family val="2"/>
      </rPr>
      <t xml:space="preserve">每年最多提价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的价格发现</t>
    </r>
  </si>
  <si>
    <r>
      <rPr>
        <sz val="11"/>
        <rFont val="Arial"/>
        <family val="0"/>
        <charset val="1"/>
      </rPr>
      <t xml:space="preserve">Test Market </t>
    </r>
    <r>
      <rPr>
        <sz val="11"/>
        <rFont val="Linux Libertine G"/>
        <family val="2"/>
      </rPr>
      <t xml:space="preserve">只能测去年价格的 </t>
    </r>
    <r>
      <rPr>
        <sz val="11"/>
        <rFont val="Arial"/>
        <family val="0"/>
        <charset val="1"/>
      </rPr>
      <t xml:space="preserve">±10%</t>
    </r>
  </si>
  <si>
    <t xml:space="preserve">只要还缺货就每年提一次</t>
  </si>
  <si>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没为升级后的需求留产能</t>
    </r>
  </si>
  <si>
    <r>
      <rPr>
        <sz val="11"/>
        <rFont val="Linux Libertine G"/>
        <family val="2"/>
      </rPr>
      <t xml:space="preserve">四款车全部缺货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超产 </t>
    </r>
    <r>
      <rPr>
        <sz val="11"/>
        <rFont val="Linux Libertine G"/>
        <family val="2"/>
        <charset val="1"/>
      </rPr>
      <t xml:space="preserve">7% </t>
    </r>
    <r>
      <rPr>
        <sz val="11"/>
        <rFont val="Linux Libertine G"/>
        <family val="2"/>
      </rPr>
      <t xml:space="preserve">付了 </t>
    </r>
    <r>
      <rPr>
        <sz val="11"/>
        <rFont val="Linux Libertine G"/>
        <family val="2"/>
        <charset val="1"/>
      </rPr>
      <t xml:space="preserve">$321M </t>
    </r>
    <r>
      <rPr>
        <sz val="11"/>
        <rFont val="Linux Libertine G"/>
        <family val="2"/>
      </rPr>
      <t xml:space="preserve">超产能费</t>
    </r>
  </si>
  <si>
    <t xml:space="preserve">升级上市的前一年就扩产</t>
  </si>
  <si>
    <t xml:space="preserve">四款车都缺货时还能提价</t>
  </si>
  <si>
    <r>
      <rPr>
        <sz val="11"/>
        <rFont val="Arial"/>
        <family val="0"/>
        <charset val="1"/>
      </rPr>
      <t xml:space="preserve">Y5 Test Market</t>
    </r>
    <r>
      <rPr>
        <sz val="11"/>
        <rFont val="Linux Libertine G"/>
        <family val="2"/>
      </rPr>
      <t xml:space="preserve">：提价 </t>
    </r>
    <r>
      <rPr>
        <sz val="11"/>
        <rFont val="Arial"/>
        <family val="0"/>
        <charset val="1"/>
      </rPr>
      <t xml:space="preserve">10% </t>
    </r>
    <r>
      <rPr>
        <sz val="11"/>
        <rFont val="Linux Libertine G"/>
        <family val="2"/>
      </rPr>
      <t xml:space="preserve">份额不变，贡献 </t>
    </r>
    <r>
      <rPr>
        <sz val="11"/>
        <rFont val="Arial"/>
        <family val="0"/>
        <charset val="1"/>
      </rPr>
      <t xml:space="preserve">Canyon +$2.5B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Cafav +$1.7B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Crash +$1.1B</t>
    </r>
  </si>
  <si>
    <r>
      <rPr>
        <sz val="11"/>
        <rFont val="Arial"/>
        <family val="0"/>
        <charset val="1"/>
      </rPr>
      <t xml:space="preserve">shortage </t>
    </r>
    <r>
      <rPr>
        <sz val="11"/>
        <rFont val="Linux Libertine G"/>
        <family val="2"/>
      </rPr>
      <t xml:space="preserve">提示还在就每年提价 </t>
    </r>
    <r>
      <rPr>
        <sz val="11"/>
        <rFont val="Arial"/>
        <family val="0"/>
        <charset val="1"/>
      </rPr>
      <t xml:space="preserve">10% </t>
    </r>
    <r>
      <rPr>
        <sz val="11"/>
        <rFont val="Linux Libertine G"/>
        <family val="2"/>
      </rPr>
      <t xml:space="preserve">去试</t>
    </r>
  </si>
  <si>
    <r>
      <rPr>
        <sz val="11"/>
        <rFont val="Arial"/>
        <family val="0"/>
        <charset val="1"/>
      </rPr>
      <t xml:space="preserve">Y5 </t>
    </r>
    <r>
      <rPr>
        <sz val="11"/>
        <rFont val="Linux Libertine G"/>
        <family val="2"/>
      </rPr>
      <t xml:space="preserve">测试</t>
    </r>
  </si>
  <si>
    <t xml:space="preserve">新车</t>
  </si>
  <si>
    <r>
      <rPr>
        <sz val="11"/>
        <rFont val="Linux Libertine G"/>
        <family val="2"/>
      </rPr>
      <t xml:space="preserve">选新车看单车毛利，不看 </t>
    </r>
    <r>
      <rPr>
        <sz val="11"/>
        <rFont val="Linux Libertine G"/>
        <family val="2"/>
        <charset val="1"/>
      </rPr>
      <t xml:space="preserve">Likely to buy</t>
    </r>
  </si>
  <si>
    <r>
      <rPr>
        <sz val="11"/>
        <rFont val="Arial"/>
        <family val="0"/>
        <charset val="1"/>
      </rPr>
      <t xml:space="preserve">4M Minivan </t>
    </r>
    <r>
      <rPr>
        <sz val="11"/>
        <rFont val="Linux Libertine G"/>
        <family val="2"/>
      </rPr>
      <t xml:space="preserve">约 </t>
    </r>
    <r>
      <rPr>
        <sz val="11"/>
        <rFont val="Arial"/>
        <family val="0"/>
        <charset val="1"/>
      </rPr>
      <t xml:space="preserve">$9.3K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5L </t>
    </r>
    <r>
      <rPr>
        <sz val="11"/>
        <rFont val="Linux Libertine G"/>
        <family val="2"/>
      </rPr>
      <t xml:space="preserve">豪华车约 </t>
    </r>
    <r>
      <rPr>
        <sz val="11"/>
        <rFont val="Arial"/>
        <family val="0"/>
        <charset val="1"/>
      </rPr>
      <t xml:space="preserve">$7.2K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AEV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2M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3U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Likely to buy </t>
    </r>
    <r>
      <rPr>
        <sz val="11"/>
        <rFont val="Linux Libertine G"/>
        <family val="2"/>
      </rPr>
      <t xml:space="preserve">高但几乎不赚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</si>
  <si>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之后优先 </t>
    </r>
    <r>
      <rPr>
        <sz val="11"/>
        <rFont val="Arial"/>
        <family val="0"/>
        <charset val="1"/>
      </rPr>
      <t xml:space="preserve">4M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5L</t>
    </r>
  </si>
  <si>
    <r>
      <rPr>
        <sz val="11"/>
        <rFont val="Arial"/>
        <family val="0"/>
        <charset val="1"/>
      </rPr>
      <t xml:space="preserve">Cameo </t>
    </r>
    <r>
      <rPr>
        <sz val="11"/>
        <rFont val="Linux Libertine G"/>
        <family val="2"/>
      </rPr>
      <t xml:space="preserve">直接做 </t>
    </r>
    <r>
      <rPr>
        <sz val="11"/>
        <rFont val="Arial"/>
        <family val="0"/>
        <charset val="1"/>
      </rPr>
      <t xml:space="preserve">major </t>
    </r>
    <r>
      <rPr>
        <sz val="11"/>
        <rFont val="Linux Libertine G"/>
        <family val="2"/>
      </rPr>
      <t xml:space="preserve">到 </t>
    </r>
    <r>
      <rPr>
        <sz val="11"/>
        <rFont val="Arial"/>
        <family val="0"/>
        <charset val="1"/>
      </rPr>
      <t xml:space="preserve">2E </t>
    </r>
    <r>
      <rPr>
        <sz val="11"/>
        <rFont val="Linux Libertine G"/>
        <family val="2"/>
      </rPr>
      <t xml:space="preserve">中间尺寸</t>
    </r>
  </si>
  <si>
    <r>
      <rPr>
        <sz val="11"/>
        <rFont val="Arial"/>
        <family val="0"/>
        <charset val="1"/>
      </rPr>
      <t xml:space="preserve">2E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Likely to buy 15.7% → 43.4%</t>
    </r>
  </si>
  <si>
    <r>
      <rPr>
        <sz val="11"/>
        <rFont val="Linux Libertine G"/>
        <family val="2"/>
      </rPr>
      <t xml:space="preserve">正式比赛就这么做，放弃 </t>
    </r>
    <r>
      <rPr>
        <sz val="11"/>
        <rFont val="Linux Libertine G"/>
        <family val="2"/>
        <charset val="1"/>
      </rPr>
      <t xml:space="preserve">1E</t>
    </r>
  </si>
  <si>
    <t xml:space="preserve">供不应求时加营销</t>
  </si>
  <si>
    <r>
      <rPr>
        <sz val="11"/>
        <rFont val="Arial"/>
        <family val="0"/>
        <charset val="1"/>
      </rPr>
      <t xml:space="preserve">Cafav </t>
    </r>
    <r>
      <rPr>
        <sz val="11"/>
        <rFont val="Linux Libertine G"/>
        <family val="2"/>
      </rPr>
      <t xml:space="preserve">营销加倍 → −</t>
    </r>
    <r>
      <rPr>
        <sz val="11"/>
        <rFont val="Arial"/>
        <family val="0"/>
        <charset val="1"/>
      </rPr>
      <t xml:space="preserve">$190M</t>
    </r>
  </si>
  <si>
    <r>
      <rPr>
        <sz val="11"/>
        <rFont val="Linux Libertine G"/>
        <family val="2"/>
      </rPr>
      <t xml:space="preserve">营销保持营收的 </t>
    </r>
    <r>
      <rPr>
        <sz val="11"/>
        <rFont val="Linux Libertine G"/>
        <family val="2"/>
        <charset val="1"/>
      </rPr>
      <t xml:space="preserve">1.6–2%</t>
    </r>
  </si>
  <si>
    <r>
      <rPr>
        <sz val="11"/>
        <rFont val="Linux Libertine G"/>
        <family val="2"/>
      </rPr>
      <t xml:space="preserve">扩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辆的产能一次约 </t>
    </r>
    <r>
      <rPr>
        <sz val="11"/>
        <rFont val="Linux Libertine G"/>
        <family val="2"/>
        <charset val="1"/>
      </rPr>
      <t xml:space="preserve">$707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10 </t>
    </r>
    <r>
      <rPr>
        <sz val="11"/>
        <rFont val="Linux Libertine G"/>
        <family val="2"/>
      </rPr>
      <t xml:space="preserve">年折旧，每年约 </t>
    </r>
    <r>
      <rPr>
        <sz val="11"/>
        <rFont val="Linux Libertine G"/>
        <family val="2"/>
        <charset val="1"/>
      </rPr>
      <t xml:space="preserve">$71</t>
    </r>
    <r>
      <rPr>
        <sz val="11"/>
        <rFont val="Linux Libertine G"/>
        <family val="2"/>
      </rPr>
      <t xml:space="preserve">）；超产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辆每年要付 </t>
    </r>
    <r>
      <rPr>
        <sz val="11"/>
        <rFont val="Linux Libertine G"/>
        <family val="2"/>
        <charset val="1"/>
      </rPr>
      <t xml:space="preserve">$2,200–3,500</t>
    </r>
  </si>
  <si>
    <t xml:space="preserve">需求会持续一年以上就提前扩产</t>
  </si>
  <si>
    <t xml:space="preserve">超产划不划算要看单车利润</t>
  </si>
  <si>
    <r>
      <rPr>
        <sz val="11"/>
        <rFont val="Linux Libertine G"/>
        <family val="2"/>
      </rPr>
      <t xml:space="preserve">提价后 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显示超产 </t>
    </r>
    <r>
      <rPr>
        <sz val="11"/>
        <rFont val="Linux Libertine G"/>
        <family val="2"/>
        <charset val="1"/>
      </rPr>
      <t xml:space="preserve">30% </t>
    </r>
    <r>
      <rPr>
        <sz val="11"/>
        <rFont val="Linux Libertine G"/>
        <family val="2"/>
      </rPr>
      <t xml:space="preserve">仍然多赚；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利润低时超产 </t>
    </r>
    <r>
      <rPr>
        <sz val="11"/>
        <rFont val="Linux Libertine G"/>
        <family val="2"/>
        <charset val="1"/>
      </rPr>
      <t xml:space="preserve">45% </t>
    </r>
    <r>
      <rPr>
        <sz val="11"/>
        <rFont val="Linux Libertine G"/>
        <family val="2"/>
      </rPr>
      <t xml:space="preserve">亏了 </t>
    </r>
    <r>
      <rPr>
        <sz val="11"/>
        <rFont val="Linux Libertine G"/>
        <family val="2"/>
        <charset val="1"/>
      </rPr>
      <t xml:space="preserve">$1.5B</t>
    </r>
  </si>
  <si>
    <r>
      <rPr>
        <sz val="11"/>
        <rFont val="Linux Libertine G"/>
        <family val="2"/>
      </rPr>
      <t xml:space="preserve">多超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辆的超产能费 </t>
    </r>
    <r>
      <rPr>
        <sz val="11"/>
        <rFont val="Linux Libertine G"/>
        <family val="2"/>
        <charset val="1"/>
      </rPr>
      <t xml:space="preserve">&lt; </t>
    </r>
    <r>
      <rPr>
        <sz val="11"/>
        <rFont val="Linux Libertine G"/>
        <family val="2"/>
      </rPr>
      <t xml:space="preserve">单车利润，而且卖得掉，才超产</t>
    </r>
  </si>
  <si>
    <t xml:space="preserve">缺钱时先增发，不发债</t>
  </si>
  <si>
    <r>
      <rPr>
        <sz val="11"/>
        <rFont val="Linux Libertine G"/>
        <family val="2"/>
      </rPr>
      <t xml:space="preserve">发债 </t>
    </r>
    <r>
      <rPr>
        <sz val="11"/>
        <rFont val="Linux Libertine G"/>
        <family val="2"/>
        <charset val="1"/>
      </rPr>
      <t xml:space="preserve">$5B </t>
    </r>
    <r>
      <rPr>
        <sz val="11"/>
        <rFont val="Linux Libertine G"/>
        <family val="2"/>
      </rPr>
      <t xml:space="preserve">第一年净利 −</t>
    </r>
    <r>
      <rPr>
        <sz val="11"/>
        <rFont val="Linux Libertine G"/>
        <family val="2"/>
        <charset val="1"/>
      </rPr>
      <t xml:space="preserve">$147M</t>
    </r>
    <r>
      <rPr>
        <sz val="11"/>
        <rFont val="Linux Libertine G"/>
        <family val="2"/>
      </rPr>
      <t xml:space="preserve">；增发不影响净利</t>
    </r>
  </si>
  <si>
    <r>
      <rPr>
        <sz val="11"/>
        <rFont val="Linux Libertine G"/>
        <family val="2"/>
      </rPr>
      <t xml:space="preserve">增发上限是市值的 </t>
    </r>
    <r>
      <rPr>
        <sz val="11"/>
        <rFont val="Linux Libertine G"/>
        <family val="2"/>
        <charset val="1"/>
      </rPr>
      <t xml:space="preserve">20%</t>
    </r>
  </si>
  <si>
    <r>
      <rPr>
        <sz val="11"/>
        <rFont val="Linux Libertine G"/>
        <family val="2"/>
      </rPr>
      <t xml:space="preserve">现金多的时候买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</si>
  <si>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Arial"/>
        <family val="0"/>
        <charset val="1"/>
      </rPr>
      <t xml:space="preserve">$10B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CD → </t>
    </r>
    <r>
      <rPr>
        <sz val="11"/>
        <rFont val="Linux Libertine G"/>
        <family val="2"/>
      </rPr>
      <t xml:space="preserve">利息 </t>
    </r>
    <r>
      <rPr>
        <sz val="11"/>
        <rFont val="Arial"/>
        <family val="0"/>
        <charset val="1"/>
      </rPr>
      <t xml:space="preserve">$300M</t>
    </r>
    <r>
      <rPr>
        <sz val="11"/>
        <rFont val="Linux Libertine G"/>
        <family val="2"/>
      </rPr>
      <t xml:space="preserve">，净利 </t>
    </r>
    <r>
      <rPr>
        <sz val="11"/>
        <rFont val="Arial"/>
        <family val="0"/>
        <charset val="1"/>
      </rPr>
      <t xml:space="preserve">+$195M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CD </t>
    </r>
    <r>
      <rPr>
        <sz val="11"/>
        <rFont val="Linux Libertine G"/>
        <family val="2"/>
      </rPr>
      <t xml:space="preserve">一次最多 </t>
    </r>
    <r>
      <rPr>
        <sz val="11"/>
        <rFont val="Arial"/>
        <family val="0"/>
        <charset val="1"/>
      </rPr>
      <t xml:space="preserve">$10B</t>
    </r>
  </si>
  <si>
    <t xml:space="preserve">保守情景下现金也够用才买</t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</si>
  <si>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HP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选</t>
    </r>
  </si>
  <si>
    <r>
      <rPr>
        <sz val="11"/>
        <rFont val="Arial"/>
        <family val="0"/>
        <charset val="1"/>
      </rPr>
      <t xml:space="preserve">5U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245 HP </t>
    </r>
    <r>
      <rPr>
        <sz val="11"/>
        <rFont val="Linux Libertine G"/>
        <family val="2"/>
      </rPr>
      <t xml:space="preserve">被评 </t>
    </r>
    <r>
      <rPr>
        <sz val="11"/>
        <rFont val="Arial"/>
        <family val="0"/>
        <charset val="1"/>
      </rPr>
      <t xml:space="preserve">best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81.6%</t>
    </r>
    <r>
      <rPr>
        <sz val="11"/>
        <rFont val="Linux Libertine G"/>
        <family val="2"/>
      </rPr>
      <t xml:space="preserve">），</t>
    </r>
    <r>
      <rPr>
        <sz val="11"/>
        <rFont val="Arial"/>
        <family val="0"/>
        <charset val="1"/>
      </rPr>
      <t xml:space="preserve">225 sluggish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80.3%</t>
    </r>
    <r>
      <rPr>
        <sz val="11"/>
        <rFont val="Linux Libertine G"/>
        <family val="2"/>
      </rPr>
      <t xml:space="preserve">），</t>
    </r>
    <r>
      <rPr>
        <sz val="11"/>
        <rFont val="Arial"/>
        <family val="0"/>
        <charset val="1"/>
      </rPr>
      <t xml:space="preserve">260 poor MPG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81.3%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</si>
  <si>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定 </t>
    </r>
    <r>
      <rPr>
        <sz val="11"/>
        <rFont val="Linux Libertine G"/>
        <family val="2"/>
        <charset val="1"/>
      </rPr>
      <t xml:space="preserve">245 HP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</si>
  <si>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Y1</t>
    </r>
  </si>
  <si>
    <t xml:space="preserve">系统规则</t>
  </si>
  <si>
    <r>
      <rPr>
        <sz val="11"/>
        <rFont val="Linux Libertine G"/>
        <family val="2"/>
      </rPr>
      <t xml:space="preserve">每年只能建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个研发中心</t>
    </r>
  </si>
  <si>
    <r>
      <rPr>
        <sz val="11"/>
        <rFont val="Linux Libertine G"/>
        <family val="2"/>
      </rPr>
      <t xml:space="preserve">建了第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个之后页面上就没有再建的选项</t>
    </r>
  </si>
  <si>
    <r>
      <rPr>
        <sz val="11"/>
        <rFont val="Linux Libertine G"/>
        <family val="2"/>
      </rPr>
      <t xml:space="preserve">每年都建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个，直到需要的数量</t>
    </r>
  </si>
  <si>
    <r>
      <rPr>
        <sz val="11"/>
        <rFont val="Linux Libertine G"/>
        <family val="2"/>
      </rPr>
      <t xml:space="preserve">超产能费曲线（产能 </t>
    </r>
    <r>
      <rPr>
        <sz val="11"/>
        <rFont val="Linux Libertine G"/>
        <family val="2"/>
        <charset val="1"/>
      </rPr>
      <t xml:space="preserve">1,000K</t>
    </r>
    <r>
      <rPr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</si>
  <si>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1,050K $104M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1,100K $221M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1,150K $352M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1,200K $498M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1,250K $661M</t>
    </r>
  </si>
  <si>
    <r>
      <rPr>
        <sz val="11"/>
        <rFont val="Linux Libertine G"/>
        <family val="2"/>
      </rPr>
      <t xml:space="preserve">边际约 </t>
    </r>
    <r>
      <rPr>
        <sz val="11"/>
        <rFont val="Linux Libertine G"/>
        <family val="2"/>
        <charset val="1"/>
      </rPr>
      <t xml:space="preserve">$2,300–3,300 / </t>
    </r>
    <r>
      <rPr>
        <sz val="11"/>
        <rFont val="Linux Libertine G"/>
        <family val="2"/>
      </rPr>
      <t xml:space="preserve">辆：比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单车毛利高，比 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低</t>
    </r>
  </si>
  <si>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提价约 </t>
    </r>
    <r>
      <rPr>
        <sz val="11"/>
        <rFont val="Linux Libertine G"/>
        <family val="2"/>
        <charset val="1"/>
      </rPr>
      <t xml:space="preserve">10% + </t>
    </r>
    <r>
      <rPr>
        <sz val="11"/>
        <rFont val="Linux Libertine G"/>
        <family val="2"/>
      </rPr>
      <t xml:space="preserve">广告加倍</t>
    </r>
  </si>
  <si>
    <r>
      <rPr>
        <sz val="11"/>
        <rFont val="Arial"/>
        <family val="0"/>
        <charset val="1"/>
      </rPr>
      <t xml:space="preserve">Test Market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Cafav $22,385 </t>
    </r>
    <r>
      <rPr>
        <sz val="11"/>
        <rFont val="Linux Libertine G"/>
        <family val="2"/>
      </rPr>
      <t xml:space="preserve">份额 </t>
    </r>
    <r>
      <rPr>
        <sz val="11"/>
        <rFont val="Arial"/>
        <family val="0"/>
        <charset val="1"/>
      </rPr>
      <t xml:space="preserve">4.5% → 5.3%</t>
    </r>
    <r>
      <rPr>
        <sz val="11"/>
        <rFont val="Linux Libertine G"/>
        <family val="2"/>
      </rPr>
      <t xml:space="preserve">；实际份额 </t>
    </r>
    <r>
      <rPr>
        <sz val="11"/>
        <rFont val="Arial"/>
        <family val="0"/>
        <charset val="1"/>
      </rPr>
      <t xml:space="preserve">6.0%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Crash 4.9%</t>
    </r>
    <r>
      <rPr>
        <sz val="11"/>
        <rFont val="Linux Libertine G"/>
        <family val="2"/>
      </rPr>
      <t xml:space="preserve">，都比预测高，但对手也提价了，分不清是广告还是对手的原因；偏好度反而从 </t>
    </r>
    <r>
      <rPr>
        <sz val="11"/>
        <rFont val="Arial"/>
        <family val="0"/>
        <charset val="1"/>
      </rPr>
      <t xml:space="preserve">14.3% </t>
    </r>
    <r>
      <rPr>
        <sz val="11"/>
        <rFont val="Linux Libertine G"/>
        <family val="2"/>
      </rPr>
      <t xml:space="preserve">降到 </t>
    </r>
    <r>
      <rPr>
        <sz val="11"/>
        <rFont val="Arial"/>
        <family val="0"/>
        <charset val="1"/>
      </rPr>
      <t xml:space="preserve">12.4%</t>
    </r>
  </si>
  <si>
    <r>
      <rPr>
        <sz val="11"/>
        <rFont val="Linux Libertine G"/>
        <family val="2"/>
      </rPr>
      <t xml:space="preserve">分不出广告的效果；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看 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新版上市时多投营销的效果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</si>
  <si>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20% + </t>
    </r>
    <r>
      <rPr>
        <sz val="11"/>
        <rFont val="Linux Libertine G"/>
        <family val="2"/>
      </rPr>
      <t xml:space="preserve">还短贷 </t>
    </r>
    <r>
      <rPr>
        <sz val="11"/>
        <rFont val="Linux Libertine G"/>
        <family val="2"/>
        <charset val="1"/>
      </rPr>
      <t xml:space="preserve">$4B</t>
    </r>
    <r>
      <rPr>
        <sz val="11"/>
        <rFont val="Linux Libertine G"/>
        <family val="2"/>
      </rPr>
      <t xml:space="preserve">（不发债）</t>
    </r>
  </si>
  <si>
    <r>
      <rPr>
        <sz val="11"/>
        <rFont val="Linux Libertine G"/>
        <family val="2"/>
      </rPr>
      <t xml:space="preserve">利息 </t>
    </r>
    <r>
      <rPr>
        <sz val="11"/>
        <rFont val="Linux Libertine G"/>
        <family val="2"/>
        <charset val="1"/>
      </rPr>
      <t xml:space="preserve">$500M → $200M</t>
    </r>
    <r>
      <rPr>
        <sz val="11"/>
        <rFont val="Linux Libertine G"/>
        <family val="2"/>
      </rPr>
      <t xml:space="preserve">；股价 </t>
    </r>
    <r>
      <rPr>
        <sz val="11"/>
        <rFont val="Linux Libertine G"/>
        <family val="2"/>
        <charset val="1"/>
      </rPr>
      <t xml:space="preserve">+8.3%</t>
    </r>
    <r>
      <rPr>
        <sz val="11"/>
        <rFont val="Linux Libertine G"/>
        <family val="2"/>
      </rPr>
      <t xml:space="preserve">、市值 </t>
    </r>
    <r>
      <rPr>
        <sz val="11"/>
        <rFont val="Linux Libertine G"/>
        <family val="2"/>
        <charset val="1"/>
      </rPr>
      <t xml:space="preserve">+30%</t>
    </r>
    <r>
      <rPr>
        <sz val="11"/>
        <rFont val="Linux Libertine G"/>
        <family val="2"/>
      </rPr>
      <t xml:space="preserve">，增发没有稀释股价</t>
    </r>
  </si>
  <si>
    <r>
      <rPr>
        <sz val="11"/>
        <rFont val="Linux Libertine G"/>
        <family val="2"/>
      </rPr>
      <t xml:space="preserve">继续用；但 </t>
    </r>
    <r>
      <rPr>
        <sz val="11"/>
        <rFont val="Linux Libertine G"/>
        <family val="2"/>
        <charset val="1"/>
      </rPr>
      <t xml:space="preserve">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也都增发了，已经不是优势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</si>
  <si>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 </t>
    </r>
    <r>
      <rPr>
        <sz val="11"/>
        <rFont val="Linux Libertine G"/>
        <family val="2"/>
        <charset val="1"/>
      </rPr>
      <t xml:space="preserve">38 / Safety 4 / Quality 3</t>
    </r>
  </si>
  <si>
    <r>
      <rPr>
        <sz val="11"/>
        <rFont val="Arial"/>
        <family val="0"/>
        <charset val="1"/>
      </rPr>
      <t xml:space="preserve">Y2 </t>
    </r>
    <r>
      <rPr>
        <sz val="11"/>
        <rFont val="Linux Libertine G"/>
        <family val="2"/>
      </rPr>
      <t xml:space="preserve">上市时调到 </t>
    </r>
    <r>
      <rPr>
        <sz val="11"/>
        <rFont val="Arial"/>
        <family val="0"/>
        <charset val="1"/>
      </rPr>
      <t xml:space="preserve">40 / Sf5 / Q4</t>
    </r>
    <r>
      <rPr>
        <sz val="11"/>
        <rFont val="Linux Libertine G"/>
        <family val="2"/>
      </rPr>
      <t xml:space="preserve">：份额 </t>
    </r>
    <r>
      <rPr>
        <sz val="11"/>
        <rFont val="Arial"/>
        <family val="0"/>
        <charset val="1"/>
      </rPr>
      <t xml:space="preserve">8.3%</t>
    </r>
    <r>
      <rPr>
        <sz val="11"/>
        <rFont val="Linux Libertine G"/>
        <family val="2"/>
      </rPr>
      <t xml:space="preserve">，</t>
    </r>
    <r>
      <rPr>
        <sz val="11"/>
        <rFont val="Arial"/>
        <family val="0"/>
        <charset val="1"/>
      </rPr>
      <t xml:space="preserve">2F </t>
    </r>
    <r>
      <rPr>
        <sz val="11"/>
        <rFont val="Linux Libertine G"/>
        <family val="2"/>
      </rPr>
      <t xml:space="preserve">和 </t>
    </r>
    <r>
      <rPr>
        <sz val="11"/>
        <rFont val="Arial"/>
        <family val="0"/>
        <charset val="1"/>
      </rPr>
      <t xml:space="preserve">3S </t>
    </r>
    <r>
      <rPr>
        <sz val="11"/>
        <rFont val="Linux Libertine G"/>
        <family val="2"/>
      </rPr>
      <t xml:space="preserve">第一，</t>
    </r>
    <r>
      <rPr>
        <sz val="11"/>
        <rFont val="Arial"/>
        <family val="0"/>
        <charset val="1"/>
      </rPr>
      <t xml:space="preserve">$24,000 </t>
    </r>
    <r>
      <rPr>
        <sz val="11"/>
        <rFont val="Linux Libertine G"/>
        <family val="2"/>
      </rPr>
      <t xml:space="preserve">还缺货 </t>
    </r>
    <r>
      <rPr>
        <sz val="11"/>
        <rFont val="Arial"/>
        <family val="0"/>
        <charset val="1"/>
      </rPr>
      <t xml:space="preserve">&gt;30%</t>
    </r>
  </si>
  <si>
    <t xml:space="preserve">下一步提价</t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</si>
  <si>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验证）</t>
    </r>
  </si>
  <si>
    <r>
      <rPr>
        <sz val="11"/>
        <rFont val="Linux Libertine G"/>
        <family val="2"/>
        <charset val="1"/>
      </rPr>
      <t xml:space="preserve">South +48 </t>
    </r>
    <r>
      <rPr>
        <sz val="11"/>
        <rFont val="Linux Libertine G"/>
        <family val="2"/>
      </rPr>
      <t xml:space="preserve">家经销商</t>
    </r>
  </si>
  <si>
    <r>
      <rPr>
        <sz val="11"/>
        <rFont val="Linux Libertine G"/>
        <family val="2"/>
      </rPr>
      <t xml:space="preserve">南区覆盖率 </t>
    </r>
    <r>
      <rPr>
        <sz val="11"/>
        <rFont val="Linux Libertine G"/>
        <family val="2"/>
        <charset val="1"/>
      </rPr>
      <t xml:space="preserve">48% → 67%</t>
    </r>
  </si>
  <si>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看销量有没有变化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</si>
  <si>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Y2</t>
    </r>
  </si>
  <si>
    <r>
      <rPr>
        <sz val="11"/>
        <rFont val="Linux Libertine G"/>
        <family val="2"/>
      </rPr>
      <t xml:space="preserve">只按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定价（它假设对手不改价）</t>
    </r>
  </si>
  <si>
    <r>
      <rPr>
        <sz val="11"/>
        <rFont val="Linux Libertine G"/>
        <family val="2"/>
      </rPr>
      <t xml:space="preserve">实际份额都比预测高 </t>
    </r>
    <r>
      <rPr>
        <sz val="11"/>
        <rFont val="Linux Libertine G"/>
        <family val="2"/>
        <charset val="1"/>
      </rPr>
      <t xml:space="preserve">0.5–0.8 </t>
    </r>
    <r>
      <rPr>
        <sz val="11"/>
        <rFont val="Linux Libertine G"/>
        <family val="2"/>
      </rPr>
      <t xml:space="preserve">点，全部卖光；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Crash </t>
    </r>
    <r>
      <rPr>
        <sz val="11"/>
        <rFont val="Linux Libertine G"/>
        <family val="2"/>
      </rPr>
      <t xml:space="preserve">少赚约 </t>
    </r>
    <r>
      <rPr>
        <sz val="11"/>
        <rFont val="Linux Libertine G"/>
        <family val="2"/>
        <charset val="1"/>
      </rPr>
      <t xml:space="preserve">$3.9 </t>
    </r>
    <r>
      <rPr>
        <sz val="11"/>
        <rFont val="Linux Libertine G"/>
        <family val="2"/>
      </rPr>
      <t xml:space="preserve">亿</t>
    </r>
  </si>
  <si>
    <t xml:space="preserve">全行业缺货时，测出来的价格再往上加</t>
  </si>
  <si>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也开 </t>
    </r>
    <r>
      <rPr>
        <sz val="11"/>
        <rFont val="Linux Libertine G"/>
        <family val="2"/>
        <charset val="1"/>
      </rPr>
      <t xml:space="preserve">Flex</t>
    </r>
  </si>
  <si>
    <r>
      <rPr>
        <sz val="11"/>
        <rFont val="Arial"/>
        <family val="0"/>
        <charset val="1"/>
      </rPr>
      <t xml:space="preserve">Flex </t>
    </r>
    <r>
      <rPr>
        <sz val="11"/>
        <rFont val="Linux Libertine G"/>
        <family val="2"/>
      </rPr>
      <t xml:space="preserve">加满 </t>
    </r>
    <r>
      <rPr>
        <sz val="11"/>
        <rFont val="Arial"/>
        <family val="0"/>
        <charset val="1"/>
      </rPr>
      <t xml:space="preserve">10%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Cameo </t>
    </r>
    <r>
      <rPr>
        <sz val="11"/>
        <rFont val="Linux Libertine G"/>
        <family val="2"/>
      </rPr>
      <t xml:space="preserve">单车毛利约 </t>
    </r>
    <r>
      <rPr>
        <sz val="11"/>
        <rFont val="Arial"/>
        <family val="0"/>
        <charset val="1"/>
      </rPr>
      <t xml:space="preserve">$2,000 &lt; </t>
    </r>
    <r>
      <rPr>
        <sz val="11"/>
        <rFont val="Linux Libertine G"/>
        <family val="2"/>
      </rPr>
      <t xml:space="preserve">超产边际成本约 </t>
    </r>
    <r>
      <rPr>
        <sz val="11"/>
        <rFont val="Arial"/>
        <family val="0"/>
        <charset val="1"/>
      </rPr>
      <t xml:space="preserve">$2,700</t>
    </r>
  </si>
  <si>
    <r>
      <rPr>
        <sz val="11"/>
        <rFont val="Linux Libertine G"/>
        <family val="2"/>
      </rPr>
      <t xml:space="preserve">低毛利的车关掉 </t>
    </r>
    <r>
      <rPr>
        <sz val="11"/>
        <rFont val="Linux Libertine G"/>
        <family val="2"/>
        <charset val="1"/>
      </rPr>
      <t xml:space="preserve">Flex</t>
    </r>
  </si>
  <si>
    <r>
      <rPr>
        <sz val="11"/>
        <rFont val="Linux Libertine G"/>
        <family val="2"/>
        <charset val="1"/>
      </rPr>
      <t xml:space="preserve">Firm Preference </t>
    </r>
    <r>
      <rPr>
        <sz val="11"/>
        <rFont val="Linux Libertine G"/>
        <family val="2"/>
      </rPr>
      <t xml:space="preserve">和车型升级有关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</si>
  <si>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r>
      <rPr>
        <sz val="11"/>
        <rFont val="Linux Libertine G"/>
        <family val="2"/>
      </rPr>
      <t xml:space="preserve">我们两款升级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营销最多 → </t>
    </r>
    <r>
      <rPr>
        <sz val="11"/>
        <rFont val="Linux Libertine G"/>
        <family val="2"/>
        <charset val="1"/>
      </rPr>
      <t xml:space="preserve">12.4% → 19.4%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B </t>
    </r>
    <r>
      <rPr>
        <sz val="11"/>
        <rFont val="Linux Libertine G"/>
        <family val="2"/>
      </rPr>
      <t xml:space="preserve">三款升级 → </t>
    </r>
    <r>
      <rPr>
        <sz val="11"/>
        <rFont val="Linux Libertine G"/>
        <family val="2"/>
        <charset val="1"/>
      </rPr>
      <t xml:space="preserve">20.2%</t>
    </r>
  </si>
  <si>
    <r>
      <rPr>
        <sz val="11"/>
        <rFont val="Linux Libertine G"/>
        <family val="2"/>
      </rPr>
      <t xml:space="preserve">升级车型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营销一起拉偏好度</t>
    </r>
  </si>
  <si>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× </t>
    </r>
    <r>
      <rPr>
        <sz val="11"/>
        <rFont val="Linux Libertine G"/>
        <family val="2"/>
      </rPr>
      <t xml:space="preserve">行业规模填 </t>
    </r>
    <r>
      <rPr>
        <sz val="11"/>
        <rFont val="Linux Libertine G"/>
        <family val="2"/>
        <charset val="1"/>
      </rPr>
      <t xml:space="preserve">Pro-Forma</t>
    </r>
  </si>
  <si>
    <r>
      <rPr>
        <sz val="11"/>
        <rFont val="Linux Libertine G"/>
        <family val="2"/>
      </rPr>
      <t xml:space="preserve">净利实际比 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高 </t>
    </r>
    <r>
      <rPr>
        <sz val="11"/>
        <rFont val="Linux Libertine G"/>
        <family val="2"/>
        <charset val="1"/>
      </rPr>
      <t xml:space="preserve">$81M</t>
    </r>
    <r>
      <rPr>
        <sz val="11"/>
        <rFont val="Linux Libertine G"/>
        <family val="2"/>
      </rPr>
      <t xml:space="preserve">（误差 </t>
    </r>
    <r>
      <rPr>
        <sz val="11"/>
        <rFont val="Linux Libertine G"/>
        <family val="2"/>
        <charset val="1"/>
      </rPr>
      <t xml:space="preserve">6.5%</t>
    </r>
    <r>
      <rPr>
        <sz val="11"/>
        <rFont val="Linux Libertine G"/>
        <family val="2"/>
      </rPr>
      <t xml:space="preserve">）</t>
    </r>
  </si>
  <si>
    <t xml:space="preserve">继续用，但行业规模按全行业产能估</t>
  </si>
  <si>
    <r>
      <rPr>
        <sz val="11"/>
        <rFont val="Linux Libertine G"/>
        <family val="2"/>
      </rPr>
      <t xml:space="preserve">每年扩产不能超过现有产能的 </t>
    </r>
    <r>
      <rPr>
        <sz val="11"/>
        <rFont val="Linux Libertine G"/>
        <family val="2"/>
        <charset val="1"/>
      </rPr>
      <t xml:space="preserve">50%</t>
    </r>
  </si>
  <si>
    <r>
      <rPr>
        <sz val="11"/>
        <rFont val="Linux Libertine G"/>
        <family val="2"/>
        <charset val="1"/>
      </rPr>
      <t xml:space="preserve">1,500K </t>
    </r>
    <r>
      <rPr>
        <sz val="11"/>
        <rFont val="Linux Libertine G"/>
        <family val="2"/>
      </rPr>
      <t xml:space="preserve">时想 </t>
    </r>
    <r>
      <rPr>
        <sz val="11"/>
        <rFont val="Linux Libertine G"/>
        <family val="2"/>
        <charset val="1"/>
      </rPr>
      <t xml:space="preserve">+800K</t>
    </r>
    <r>
      <rPr>
        <sz val="11"/>
        <rFont val="Linux Libertine G"/>
        <family val="2"/>
      </rPr>
      <t xml:space="preserve">，系统提示上限 </t>
    </r>
    <r>
      <rPr>
        <sz val="11"/>
        <rFont val="Linux Libertine G"/>
        <family val="2"/>
        <charset val="1"/>
      </rPr>
      <t xml:space="preserve">750</t>
    </r>
  </si>
  <si>
    <t xml:space="preserve">大扩产提前一年分两次做</t>
  </si>
  <si>
    <t xml:space="preserve">经销商变动上限按“已开业”经销商算</t>
  </si>
  <si>
    <r>
      <rPr>
        <sz val="11"/>
        <rFont val="Linux Libertine G"/>
        <family val="2"/>
        <charset val="1"/>
      </rPr>
      <t xml:space="preserve">480 </t>
    </r>
    <r>
      <rPr>
        <sz val="11"/>
        <rFont val="Linux Libertine G"/>
        <family val="2"/>
      </rPr>
      <t xml:space="preserve">家已开业 → </t>
    </r>
    <r>
      <rPr>
        <sz val="11"/>
        <rFont val="Linux Libertine G"/>
        <family val="2"/>
        <charset val="1"/>
      </rPr>
      <t xml:space="preserve">±48</t>
    </r>
    <r>
      <rPr>
        <sz val="11"/>
        <rFont val="Linux Libertine G"/>
        <family val="2"/>
      </rPr>
      <t xml:space="preserve">；去年排的 </t>
    </r>
    <r>
      <rPr>
        <sz val="11"/>
        <rFont val="Linux Libertine G"/>
        <family val="2"/>
        <charset val="1"/>
      </rPr>
      <t xml:space="preserve">+48 </t>
    </r>
    <r>
      <rPr>
        <sz val="11"/>
        <rFont val="Linux Libertine G"/>
        <family val="2"/>
      </rPr>
      <t xml:space="preserve">不算进基数</t>
    </r>
  </si>
  <si>
    <r>
      <rPr>
        <sz val="11"/>
        <rFont val="Linux Libertine G"/>
        <family val="2"/>
      </rPr>
      <t xml:space="preserve">每年约 </t>
    </r>
    <r>
      <rPr>
        <sz val="11"/>
        <rFont val="Linux Libertine G"/>
        <family val="2"/>
        <charset val="1"/>
      </rPr>
      <t xml:space="preserve">+48</t>
    </r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</si>
  <si>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做 </t>
    </r>
    <r>
      <rPr>
        <sz val="11"/>
        <rFont val="Linux Libertine G"/>
        <family val="2"/>
        <charset val="1"/>
      </rPr>
      <t xml:space="preserve">minor</t>
    </r>
    <r>
      <rPr>
        <sz val="11"/>
        <rFont val="Linux Libertine G"/>
        <family val="2"/>
      </rPr>
      <t xml:space="preserve">（今年上市），不做 </t>
    </r>
    <r>
      <rPr>
        <sz val="11"/>
        <rFont val="Linux Libertine G"/>
        <family val="2"/>
        <charset val="1"/>
      </rPr>
      <t xml:space="preserve">major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上市）</t>
    </r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</si>
  <si>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4.9% → 5.5%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4L </t>
    </r>
    <r>
      <rPr>
        <sz val="11"/>
        <rFont val="Linux Libertine G"/>
        <family val="2"/>
      </rPr>
      <t xml:space="preserve">第一，</t>
    </r>
    <r>
      <rPr>
        <sz val="11"/>
        <rFont val="Linux Libertine G"/>
        <family val="2"/>
        <charset val="1"/>
      </rPr>
      <t xml:space="preserve">$24,000 </t>
    </r>
    <r>
      <rPr>
        <sz val="11"/>
        <rFont val="Linux Libertine G"/>
        <family val="2"/>
      </rPr>
      <t xml:space="preserve">卖光；贡献 </t>
    </r>
    <r>
      <rPr>
        <sz val="11"/>
        <rFont val="Linux Libertine G"/>
        <family val="2"/>
        <charset val="1"/>
      </rPr>
      <t xml:space="preserve">+38%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</si>
  <si>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再做一次 </t>
    </r>
    <r>
      <rPr>
        <sz val="11"/>
        <rFont val="Linux Libertine G"/>
        <family val="2"/>
        <charset val="1"/>
      </rPr>
      <t xml:space="preserve">minor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</si>
  <si>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新版定 </t>
    </r>
    <r>
      <rPr>
        <sz val="11"/>
        <rFont val="Linux Libertine G"/>
        <family val="2"/>
        <charset val="1"/>
      </rPr>
      <t xml:space="preserve">$24,000</t>
    </r>
    <r>
      <rPr>
        <sz val="11"/>
        <rFont val="Linux Libertine G"/>
        <family val="2"/>
      </rPr>
      <t xml:space="preserve">（高于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的断崖）</t>
    </r>
  </si>
  <si>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8.3%</t>
    </r>
    <r>
      <rPr>
        <sz val="11"/>
        <rFont val="Linux Libertine G"/>
        <family val="2"/>
      </rPr>
      <t xml:space="preserve">（预计 </t>
    </r>
    <r>
      <rPr>
        <sz val="11"/>
        <rFont val="Linux Libertine G"/>
        <family val="2"/>
        <charset val="1"/>
      </rPr>
      <t xml:space="preserve">6.8%</t>
    </r>
    <r>
      <rPr>
        <sz val="11"/>
        <rFont val="Linux Libertine G"/>
        <family val="2"/>
      </rPr>
      <t xml:space="preserve">），缺货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的断崖不可信</t>
    </r>
  </si>
  <si>
    <t xml:space="preserve">还能再提价</t>
  </si>
  <si>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一度照搬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教训关掉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Flex</t>
    </r>
    <r>
      <rPr>
        <sz val="11"/>
        <rFont val="Linux Libertine G"/>
        <family val="2"/>
      </rPr>
      <t xml:space="preserve">（提交前检查时改回）</t>
    </r>
  </si>
  <si>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关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的理由是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毛利 </t>
    </r>
    <r>
      <rPr>
        <sz val="11"/>
        <rFont val="Linux Libertine G"/>
        <family val="2"/>
        <charset val="1"/>
      </rPr>
      <t xml:space="preserve">$2,058 &lt; </t>
    </r>
    <r>
      <rPr>
        <sz val="11"/>
        <rFont val="Linux Libertine G"/>
        <family val="2"/>
      </rPr>
      <t xml:space="preserve">超产 </t>
    </r>
    <r>
      <rPr>
        <sz val="11"/>
        <rFont val="Linux Libertine G"/>
        <family val="2"/>
        <charset val="1"/>
      </rPr>
      <t xml:space="preserve">117% </t>
    </r>
    <r>
      <rPr>
        <sz val="11"/>
        <rFont val="Linux Libertine G"/>
        <family val="2"/>
      </rPr>
      <t xml:space="preserve">的边际成本约 </t>
    </r>
    <r>
      <rPr>
        <sz val="11"/>
        <rFont val="Linux Libertine G"/>
        <family val="2"/>
        <charset val="1"/>
      </rPr>
      <t xml:space="preserve">$2,700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提价后毛利 </t>
    </r>
    <r>
      <rPr>
        <sz val="11"/>
        <rFont val="Linux Libertine G"/>
        <family val="2"/>
        <charset val="1"/>
      </rPr>
      <t xml:space="preserve">$3,160</t>
    </r>
    <r>
      <rPr>
        <sz val="11"/>
        <rFont val="Linux Libertine G"/>
        <family val="2"/>
      </rPr>
      <t xml:space="preserve">，超产只有约 </t>
    </r>
    <r>
      <rPr>
        <sz val="11"/>
        <rFont val="Linux Libertine G"/>
        <family val="2"/>
        <charset val="1"/>
      </rPr>
      <t xml:space="preserve">3–11%</t>
    </r>
    <r>
      <rPr>
        <sz val="11"/>
        <rFont val="Linux Libertine G"/>
        <family val="2"/>
      </rPr>
      <t xml:space="preserve">，边际成本约 </t>
    </r>
    <r>
      <rPr>
        <sz val="11"/>
        <rFont val="Linux Libertine G"/>
        <family val="2"/>
        <charset val="1"/>
      </rPr>
      <t xml:space="preserve">$2,000–2,600</t>
    </r>
    <r>
      <rPr>
        <sz val="11"/>
        <rFont val="Linux Libertine G"/>
        <family val="2"/>
      </rPr>
      <t xml:space="preserve">，多产是赚钱的</t>
    </r>
  </si>
  <si>
    <r>
      <rPr>
        <sz val="11"/>
        <rFont val="Linux Libertine G"/>
        <family val="2"/>
      </rPr>
      <t xml:space="preserve">每条教训都要带上成立的条件；单车毛利低于超产边际成本的车才关 </t>
    </r>
    <r>
      <rPr>
        <sz val="11"/>
        <rFont val="Linux Libertine G"/>
        <family val="2"/>
        <charset val="1"/>
      </rPr>
      <t xml:space="preserve">Flex</t>
    </r>
  </si>
  <si>
    <r>
      <rPr>
        <sz val="11"/>
        <rFont val="Linux Libertine G"/>
        <family val="2"/>
      </rPr>
      <t xml:space="preserve">再增发 </t>
    </r>
    <r>
      <rPr>
        <sz val="11"/>
        <rFont val="Linux Libertine G"/>
        <family val="2"/>
        <charset val="1"/>
      </rPr>
      <t xml:space="preserve">20% + </t>
    </r>
    <r>
      <rPr>
        <sz val="11"/>
        <rFont val="Linux Libertine G"/>
        <family val="2"/>
      </rPr>
      <t xml:space="preserve">负债清零</t>
    </r>
  </si>
  <si>
    <r>
      <rPr>
        <sz val="11"/>
        <rFont val="Linux Libertine G"/>
        <family val="2"/>
      </rPr>
      <t xml:space="preserve">股价 </t>
    </r>
    <r>
      <rPr>
        <sz val="11"/>
        <rFont val="Linux Libertine G"/>
        <family val="2"/>
        <charset val="1"/>
      </rPr>
      <t xml:space="preserve">+44%</t>
    </r>
    <r>
      <rPr>
        <sz val="11"/>
        <rFont val="Linux Libertine G"/>
        <family val="2"/>
      </rPr>
      <t xml:space="preserve">，市值 </t>
    </r>
    <r>
      <rPr>
        <sz val="11"/>
        <rFont val="Linux Libertine G"/>
        <family val="2"/>
        <charset val="1"/>
      </rPr>
      <t xml:space="preserve">$39.7B </t>
    </r>
    <r>
      <rPr>
        <sz val="11"/>
        <rFont val="Linux Libertine G"/>
        <family val="2"/>
      </rPr>
      <t xml:space="preserve">第一（第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名 </t>
    </r>
    <r>
      <rPr>
        <sz val="11"/>
        <rFont val="Linux Libertine G"/>
        <family val="2"/>
        <charset val="1"/>
      </rPr>
      <t xml:space="preserve">B $26.2B</t>
    </r>
    <r>
      <rPr>
        <sz val="11"/>
        <rFont val="Linux Libertine G"/>
        <family val="2"/>
      </rPr>
      <t xml:space="preserve">）</t>
    </r>
  </si>
  <si>
    <t xml:space="preserve">继续保持低负债</t>
  </si>
  <si>
    <t xml:space="preserve">升级当年的新车价格定得太保守</t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</si>
  <si>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；升级效果实际 </t>
    </r>
    <r>
      <rPr>
        <sz val="11"/>
        <rFont val="Linux Libertine G"/>
        <family val="2"/>
        <charset val="1"/>
      </rPr>
      <t xml:space="preserve">+2.7 </t>
    </r>
    <r>
      <rPr>
        <sz val="11"/>
        <rFont val="Linux Libertine G"/>
        <family val="2"/>
      </rPr>
      <t xml:space="preserve">点（假设 </t>
    </r>
    <r>
      <rPr>
        <sz val="11"/>
        <rFont val="Linux Libertine G"/>
        <family val="2"/>
        <charset val="1"/>
      </rPr>
      <t xml:space="preserve">+1.2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</si>
  <si>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升级当年按 </t>
    </r>
    <r>
      <rPr>
        <sz val="11"/>
        <rFont val="Linux Libertine G"/>
        <family val="2"/>
        <charset val="1"/>
      </rPr>
      <t xml:space="preserve">+2.5 </t>
    </r>
    <r>
      <rPr>
        <sz val="11"/>
        <rFont val="Linux Libertine G"/>
        <family val="2"/>
      </rPr>
      <t xml:space="preserve">点估、价格往上定、多留产能</t>
    </r>
  </si>
  <si>
    <r>
      <rPr>
        <sz val="11"/>
        <rFont val="Linux Libertine G"/>
        <family val="2"/>
      </rPr>
      <t xml:space="preserve">行业规模按系统预测的约 </t>
    </r>
    <r>
      <rPr>
        <sz val="11"/>
        <rFont val="Linux Libertine G"/>
        <family val="2"/>
        <charset val="1"/>
      </rPr>
      <t xml:space="preserve">77% </t>
    </r>
    <r>
      <rPr>
        <sz val="11"/>
        <rFont val="Linux Libertine G"/>
        <family val="2"/>
      </rPr>
      <t xml:space="preserve">估</t>
    </r>
  </si>
  <si>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实际 </t>
    </r>
    <r>
      <rPr>
        <sz val="11"/>
        <rFont val="Linux Libertine G"/>
        <family val="2"/>
        <charset val="1"/>
      </rPr>
      <t xml:space="preserve">85%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实际 </t>
    </r>
    <r>
      <rPr>
        <sz val="11"/>
        <rFont val="Linux Libertine G"/>
        <family val="2"/>
        <charset val="1"/>
      </rPr>
      <t xml:space="preserve">77%</t>
    </r>
  </si>
  <si>
    <t xml:space="preserve">继续用</t>
  </si>
  <si>
    <r>
      <rPr>
        <sz val="11"/>
        <rFont val="Linux Libertine G"/>
        <family val="2"/>
        <charset val="1"/>
      </rPr>
      <t xml:space="preserve">Test Market / Concept Test </t>
    </r>
    <r>
      <rPr>
        <sz val="11"/>
        <rFont val="Linux Libertine G"/>
        <family val="2"/>
      </rPr>
      <t xml:space="preserve">各留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次，把最终组合原样测一遍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</si>
  <si>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四款车的最终价格和广告组合都原样测过（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有两款只是两点之间推算）</t>
    </r>
  </si>
  <si>
    <t xml:space="preserve">每年都这样做</t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</si>
  <si>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Y3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</si>
  <si>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上市定 </t>
    </r>
    <r>
      <rPr>
        <sz val="11"/>
        <rFont val="Linux Libertine G"/>
        <family val="2"/>
        <charset val="1"/>
      </rPr>
      <t xml:space="preserve">$39,000</t>
    </r>
  </si>
  <si>
    <r>
      <rPr>
        <sz val="11"/>
        <rFont val="Linux Libertine G"/>
        <family val="2"/>
        <charset val="1"/>
      </rPr>
      <t xml:space="preserve">Concept Test 5U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$36K 75.0%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$39K 72.5%</t>
    </r>
    <r>
      <rPr>
        <sz val="11"/>
        <rFont val="Linux Libertine G"/>
        <family val="2"/>
      </rPr>
      <t xml:space="preserve">；没有对手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车；实际：卖 </t>
    </r>
    <r>
      <rPr>
        <sz val="11"/>
        <rFont val="Linux Libertine G"/>
        <family val="2"/>
        <charset val="1"/>
      </rPr>
      <t xml:space="preserve">585K</t>
    </r>
    <r>
      <rPr>
        <sz val="11"/>
        <rFont val="Linux Libertine G"/>
        <family val="2"/>
      </rPr>
      <t xml:space="preserve">，单车贡献 </t>
    </r>
    <r>
      <rPr>
        <sz val="11"/>
        <rFont val="Linux Libertine G"/>
        <family val="2"/>
        <charset val="1"/>
      </rPr>
      <t xml:space="preserve">$13,860</t>
    </r>
    <r>
      <rPr>
        <sz val="11"/>
        <rFont val="Linux Libertine G"/>
        <family val="2"/>
      </rPr>
      <t xml:space="preserve">（四款最高），</t>
    </r>
    <r>
      <rPr>
        <sz val="11"/>
        <rFont val="Linux Libertine G"/>
        <family val="2"/>
        <charset val="1"/>
      </rPr>
      <t xml:space="preserve">5U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5L </t>
    </r>
    <r>
      <rPr>
        <sz val="11"/>
        <rFont val="Linux Libertine G"/>
        <family val="2"/>
      </rPr>
      <t xml:space="preserve">第一；对手同年上了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款 </t>
    </r>
    <r>
      <rPr>
        <sz val="11"/>
        <rFont val="Linux Libertine G"/>
        <family val="2"/>
        <charset val="1"/>
      </rPr>
      <t xml:space="preserve">Utility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$26–35K</t>
    </r>
    <r>
      <rPr>
        <sz val="11"/>
        <rFont val="Linux Libertine G"/>
        <family val="2"/>
      </rPr>
      <t xml:space="preserve">），压 </t>
    </r>
    <r>
      <rPr>
        <sz val="11"/>
        <rFont val="Linux Libertine G"/>
        <family val="2"/>
        <charset val="1"/>
      </rPr>
      <t xml:space="preserve">65K </t>
    </r>
    <r>
      <rPr>
        <sz val="11"/>
        <rFont val="Linux Libertine G"/>
        <family val="2"/>
      </rPr>
      <t xml:space="preserve">库存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</si>
  <si>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测 </t>
    </r>
    <r>
      <rPr>
        <sz val="11"/>
        <rFont val="Linux Libertine G"/>
        <family val="2"/>
        <charset val="1"/>
      </rPr>
      <t xml:space="preserve">$36–39K</t>
    </r>
    <r>
      <rPr>
        <sz val="11"/>
        <rFont val="Linux Libertine G"/>
        <family val="2"/>
      </rPr>
      <t xml:space="preserve">；排产先扣库存</t>
    </r>
  </si>
  <si>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款车 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Family</t>
    </r>
    <r>
      <rPr>
        <sz val="11"/>
        <rFont val="Linux Libertine G"/>
        <family val="2"/>
      </rPr>
      <t xml:space="preserve">，瞄准没人做的 </t>
    </r>
    <r>
      <rPr>
        <sz val="11"/>
        <rFont val="Linux Libertine G"/>
        <family val="2"/>
        <charset val="1"/>
      </rPr>
      <t xml:space="preserve">4F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</si>
  <si>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想要 </t>
    </r>
    <r>
      <rPr>
        <sz val="11"/>
        <rFont val="Linux Libertine G"/>
        <family val="2"/>
        <charset val="1"/>
      </rPr>
      <t xml:space="preserve">47–65 / $27–41K</t>
    </r>
    <r>
      <rPr>
        <sz val="11"/>
        <rFont val="Linux Libertine G"/>
        <family val="2"/>
      </rPr>
      <t xml:space="preserve">，现有家用车只有 </t>
    </r>
    <r>
      <rPr>
        <sz val="11"/>
        <rFont val="Linux Libertine G"/>
        <family val="2"/>
        <charset val="1"/>
      </rPr>
      <t xml:space="preserve">28–40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Concept Test $34K 43.6%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$38K 43.0%</t>
    </r>
    <r>
      <rPr>
        <sz val="11"/>
        <rFont val="Linux Libertine G"/>
        <family val="2"/>
      </rPr>
      <t xml:space="preserve">；实际：</t>
    </r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第一（</t>
    </r>
    <r>
      <rPr>
        <sz val="11"/>
        <rFont val="Linux Libertine G"/>
        <family val="2"/>
        <charset val="1"/>
      </rPr>
      <t xml:space="preserve">Focus Group 28.1%</t>
    </r>
    <r>
      <rPr>
        <sz val="11"/>
        <rFont val="Linux Libertine G"/>
        <family val="2"/>
      </rPr>
      <t xml:space="preserve">），卖 </t>
    </r>
    <r>
      <rPr>
        <sz val="11"/>
        <rFont val="Linux Libertine G"/>
        <family val="2"/>
        <charset val="1"/>
      </rPr>
      <t xml:space="preserve">264K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加满）仍缺货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；单车贡献 </t>
    </r>
    <r>
      <rPr>
        <sz val="11"/>
        <rFont val="Linux Libertine G"/>
        <family val="2"/>
        <charset val="1"/>
      </rPr>
      <t xml:space="preserve">$13,291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</si>
  <si>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上市后看份额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</si>
  <si>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Y4</t>
    </r>
  </si>
  <si>
    <r>
      <rPr>
        <sz val="11"/>
        <rFont val="Linux Libertine G"/>
        <family val="2"/>
        <charset val="1"/>
      </rPr>
      <t xml:space="preserve">Cameo major </t>
    </r>
    <r>
      <rPr>
        <sz val="11"/>
        <rFont val="Linux Libertine G"/>
        <family val="2"/>
      </rPr>
      <t xml:space="preserve">转 </t>
    </r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22 / 125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</si>
  <si>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2E Concept Test $16K 32.5%</t>
    </r>
    <r>
      <rPr>
        <sz val="11"/>
        <rFont val="Linux Libertine G"/>
        <family val="2"/>
      </rPr>
      <t xml:space="preserve">；实际：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第一（</t>
    </r>
    <r>
      <rPr>
        <sz val="11"/>
        <rFont val="Linux Libertine G"/>
        <family val="2"/>
        <charset val="1"/>
      </rPr>
      <t xml:space="preserve">27.8%</t>
    </r>
    <r>
      <rPr>
        <sz val="11"/>
        <rFont val="Linux Libertine G"/>
        <family val="2"/>
      </rPr>
      <t xml:space="preserve">），卖 </t>
    </r>
    <r>
      <rPr>
        <sz val="11"/>
        <rFont val="Linux Libertine G"/>
        <family val="2"/>
        <charset val="1"/>
      </rPr>
      <t xml:space="preserve">330K </t>
    </r>
    <r>
      <rPr>
        <sz val="11"/>
        <rFont val="Linux Libertine G"/>
        <family val="2"/>
      </rPr>
      <t xml:space="preserve">仍缺货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；但 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全年 −</t>
    </r>
    <r>
      <rPr>
        <sz val="11"/>
        <rFont val="Linux Libertine G"/>
        <family val="2"/>
        <charset val="1"/>
      </rPr>
      <t xml:space="preserve">25%</t>
    </r>
    <r>
      <rPr>
        <sz val="11"/>
        <rFont val="Linux Libertine G"/>
        <family val="2"/>
      </rPr>
      <t xml:space="preserve">，单车贡献降到 </t>
    </r>
    <r>
      <rPr>
        <sz val="11"/>
        <rFont val="Linux Libertine G"/>
        <family val="2"/>
        <charset val="1"/>
      </rPr>
      <t xml:space="preserve">$3,051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</si>
  <si>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上市后看 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份额</t>
    </r>
  </si>
  <si>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第二次 </t>
    </r>
    <r>
      <rPr>
        <sz val="11"/>
        <rFont val="Linux Libertine G"/>
        <family val="2"/>
        <charset val="1"/>
      </rPr>
      <t xml:space="preserve">minor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Styling 4 / Quality 3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</si>
  <si>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3T Focus Group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Styling 3 </t>
    </r>
    <r>
      <rPr>
        <sz val="11"/>
        <rFont val="Linux Libertine G"/>
        <family val="2"/>
      </rPr>
      <t xml:space="preserve">只评 </t>
    </r>
    <r>
      <rPr>
        <sz val="11"/>
        <rFont val="Linux Libertine G"/>
        <family val="2"/>
        <charset val="1"/>
      </rPr>
      <t xml:space="preserve">avg</t>
    </r>
    <r>
      <rPr>
        <sz val="11"/>
        <rFont val="Linux Libertine G"/>
        <family val="2"/>
      </rPr>
      <t xml:space="preserve">；实际：卖 </t>
    </r>
    <r>
      <rPr>
        <sz val="11"/>
        <rFont val="Linux Libertine G"/>
        <family val="2"/>
        <charset val="1"/>
      </rPr>
      <t xml:space="preserve">473K</t>
    </r>
    <r>
      <rPr>
        <sz val="11"/>
        <rFont val="Linux Libertine G"/>
        <family val="2"/>
      </rPr>
      <t xml:space="preserve">（排 </t>
    </r>
    <r>
      <rPr>
        <sz val="11"/>
        <rFont val="Linux Libertine G"/>
        <family val="2"/>
        <charset val="1"/>
      </rPr>
      <t xml:space="preserve">430 + Flex</t>
    </r>
    <r>
      <rPr>
        <sz val="11"/>
        <rFont val="Linux Libertine G"/>
        <family val="2"/>
      </rPr>
      <t xml:space="preserve">），缺货 </t>
    </r>
    <r>
      <rPr>
        <sz val="11"/>
        <rFont val="Linux Libertine G"/>
        <family val="2"/>
        <charset val="1"/>
      </rPr>
      <t xml:space="preserve">10–30%</t>
    </r>
    <r>
      <rPr>
        <sz val="11"/>
        <rFont val="Linux Libertine G"/>
        <family val="2"/>
      </rPr>
      <t xml:space="preserve">，贡献 </t>
    </r>
    <r>
      <rPr>
        <sz val="11"/>
        <rFont val="Linux Libertine G"/>
        <family val="2"/>
        <charset val="1"/>
      </rPr>
      <t xml:space="preserve">$4,062M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持平；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第一换成了 </t>
    </r>
    <r>
      <rPr>
        <sz val="11"/>
        <rFont val="Linux Libertine G"/>
        <family val="2"/>
        <charset val="1"/>
      </rPr>
      <t xml:space="preserve">Canyon</t>
    </r>
  </si>
  <si>
    <r>
      <rPr>
        <sz val="11"/>
        <rFont val="Linux Libertine G"/>
        <family val="2"/>
      </rPr>
      <t xml:space="preserve">看 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被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分走后的份额</t>
    </r>
  </si>
  <si>
    <r>
      <rPr>
        <sz val="11"/>
        <rFont val="Linux Libertine G"/>
        <family val="2"/>
      </rPr>
      <t xml:space="preserve">不增发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买 </t>
    </r>
    <r>
      <rPr>
        <sz val="11"/>
        <rFont val="Linux Libertine G"/>
        <family val="2"/>
        <charset val="1"/>
      </rPr>
      <t xml:space="preserve">$2B CD</t>
    </r>
  </si>
  <si>
    <r>
      <rPr>
        <sz val="11"/>
        <rFont val="Linux Libertine G"/>
        <family val="2"/>
      </rPr>
      <t xml:space="preserve">经营现金流 </t>
    </r>
    <r>
      <rPr>
        <sz val="11"/>
        <rFont val="Linux Libertine G"/>
        <family val="2"/>
        <charset val="1"/>
      </rPr>
      <t xml:space="preserve">$11.0B </t>
    </r>
    <r>
      <rPr>
        <sz val="11"/>
        <rFont val="Linux Libertine G"/>
        <family val="2"/>
      </rPr>
      <t xml:space="preserve">足够投资；保守 </t>
    </r>
    <r>
      <rPr>
        <sz val="11"/>
        <rFont val="Linux Libertine G"/>
        <family val="2"/>
        <charset val="1"/>
      </rPr>
      <t xml:space="preserve">90% </t>
    </r>
    <r>
      <rPr>
        <sz val="11"/>
        <rFont val="Linux Libertine G"/>
        <family val="2"/>
      </rPr>
      <t xml:space="preserve">情景现金仍有约 </t>
    </r>
    <r>
      <rPr>
        <sz val="11"/>
        <rFont val="Linux Libertine G"/>
        <family val="2"/>
        <charset val="1"/>
      </rPr>
      <t xml:space="preserve">$3.2B</t>
    </r>
    <r>
      <rPr>
        <sz val="11"/>
        <rFont val="Linux Libertine G"/>
        <family val="2"/>
      </rPr>
      <t xml:space="preserve">；实际：股价 </t>
    </r>
    <r>
      <rPr>
        <sz val="11"/>
        <rFont val="Linux Libertine G"/>
        <family val="2"/>
        <charset val="1"/>
      </rPr>
      <t xml:space="preserve">$55.09 → $104.63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+90%</t>
    </r>
    <r>
      <rPr>
        <sz val="11"/>
        <rFont val="Linux Libertine G"/>
        <family val="2"/>
      </rPr>
      <t xml:space="preserve">），市值 </t>
    </r>
    <r>
      <rPr>
        <sz val="11"/>
        <rFont val="Linux Libertine G"/>
        <family val="2"/>
        <charset val="1"/>
      </rPr>
      <t xml:space="preserve">$75.3B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利息 </t>
    </r>
    <r>
      <rPr>
        <sz val="11"/>
        <rFont val="Linux Libertine G"/>
        <family val="2"/>
        <charset val="1"/>
      </rPr>
      <t xml:space="preserve">$60M</t>
    </r>
  </si>
  <si>
    <t xml:space="preserve">看股价和市值（这次没有增发带来的市值增加）</t>
  </si>
  <si>
    <r>
      <rPr>
        <sz val="11"/>
        <rFont val="Linux Libertine G"/>
        <family val="2"/>
      </rPr>
      <t xml:space="preserve">扩产 </t>
    </r>
    <r>
      <rPr>
        <sz val="11"/>
        <rFont val="Linux Libertine G"/>
        <family val="2"/>
        <charset val="1"/>
      </rPr>
      <t xml:space="preserve">+800K </t>
    </r>
    <r>
      <rPr>
        <sz val="11"/>
        <rFont val="Linux Libertine G"/>
        <family val="2"/>
      </rPr>
      <t xml:space="preserve">到 </t>
    </r>
    <r>
      <rPr>
        <sz val="11"/>
        <rFont val="Linux Libertine G"/>
        <family val="2"/>
        <charset val="1"/>
      </rPr>
      <t xml:space="preserve">3,050K</t>
    </r>
    <r>
      <rPr>
        <sz val="11"/>
        <rFont val="Linux Libertine G"/>
        <family val="2"/>
      </rPr>
      <t xml:space="preserve">（多留余量）</t>
    </r>
  </si>
  <si>
    <r>
      <rPr>
        <sz val="11"/>
        <rFont val="Linux Libertine G"/>
        <family val="2"/>
      </rPr>
      <t xml:space="preserve">扩产每辆 </t>
    </r>
    <r>
      <rPr>
        <sz val="11"/>
        <rFont val="Linux Libertine G"/>
        <family val="2"/>
        <charset val="1"/>
      </rPr>
      <t xml:space="preserve">$683 </t>
    </r>
    <r>
      <rPr>
        <sz val="11"/>
        <rFont val="Linux Libertine G"/>
        <family val="2"/>
      </rPr>
      <t xml:space="preserve">一次，闲置一年只花约 </t>
    </r>
    <r>
      <rPr>
        <sz val="11"/>
        <rFont val="Linux Libertine G"/>
        <family val="2"/>
        <charset val="1"/>
      </rPr>
      <t xml:space="preserve">$68 </t>
    </r>
    <r>
      <rPr>
        <sz val="11"/>
        <rFont val="Linux Libertine G"/>
        <family val="2"/>
      </rPr>
      <t xml:space="preserve">折旧；超产每辆 </t>
    </r>
    <r>
      <rPr>
        <sz val="11"/>
        <rFont val="Linux Libertine G"/>
        <family val="2"/>
        <charset val="1"/>
      </rPr>
      <t xml:space="preserve">$2,000–3,500</t>
    </r>
    <r>
      <rPr>
        <sz val="11"/>
        <rFont val="Linux Libertine G"/>
        <family val="2"/>
      </rPr>
      <t xml:space="preserve">；实际：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利用率 </t>
    </r>
    <r>
      <rPr>
        <sz val="11"/>
        <rFont val="Linux Libertine G"/>
        <family val="2"/>
        <charset val="1"/>
      </rPr>
      <t xml:space="preserve">95.9%</t>
    </r>
    <r>
      <rPr>
        <sz val="11"/>
        <rFont val="Linux Libertine G"/>
        <family val="2"/>
      </rPr>
      <t xml:space="preserve">，没有超产能费；三款车仍缺货</t>
    </r>
  </si>
  <si>
    <t xml:space="preserve">扩产比超产便宜，继续提前一年扩</t>
  </si>
  <si>
    <r>
      <rPr>
        <sz val="11"/>
        <rFont val="Linux Libertine G"/>
        <family val="2"/>
      </rPr>
      <t xml:space="preserve">新车首年按推断量排产（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推断 </t>
    </r>
    <r>
      <rPr>
        <sz val="11"/>
        <rFont val="Linux Libertine G"/>
        <family val="2"/>
        <charset val="1"/>
      </rPr>
      <t xml:space="preserve">680K</t>
    </r>
    <r>
      <rPr>
        <sz val="11"/>
        <rFont val="Linux Libertine G"/>
        <family val="2"/>
      </rPr>
      <t xml:space="preserve">，排 </t>
    </r>
    <r>
      <rPr>
        <sz val="11"/>
        <rFont val="Linux Libertine G"/>
        <family val="2"/>
        <charset val="1"/>
      </rPr>
      <t xml:space="preserve">650K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</si>
  <si>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实际卖 </t>
    </r>
    <r>
      <rPr>
        <sz val="11"/>
        <rFont val="Linux Libertine G"/>
        <family val="2"/>
        <charset val="1"/>
      </rPr>
      <t xml:space="preserve">585K</t>
    </r>
    <r>
      <rPr>
        <sz val="11"/>
        <rFont val="Linux Libertine G"/>
        <family val="2"/>
      </rPr>
      <t xml:space="preserve">，压 </t>
    </r>
    <r>
      <rPr>
        <sz val="11"/>
        <rFont val="Linux Libertine G"/>
        <family val="2"/>
        <charset val="1"/>
      </rPr>
      <t xml:space="preserve">65K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41 </t>
    </r>
    <r>
      <rPr>
        <sz val="11"/>
        <rFont val="Linux Libertine G"/>
        <family val="2"/>
      </rPr>
      <t xml:space="preserve">天，</t>
    </r>
    <r>
      <rPr>
        <sz val="11"/>
        <rFont val="Linux Libertine G"/>
        <family val="2"/>
        <charset val="1"/>
      </rPr>
      <t xml:space="preserve">$1.37B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同年就上了 </t>
    </r>
    <r>
      <rPr>
        <sz val="11"/>
        <rFont val="Linux Libertine G"/>
        <family val="2"/>
        <charset val="1"/>
      </rPr>
      <t xml:space="preserve">Utility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没有替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减产</t>
    </r>
  </si>
  <si>
    <r>
      <rPr>
        <sz val="11"/>
        <rFont val="Linux Libertine G"/>
        <family val="2"/>
      </rPr>
      <t xml:space="preserve">新车首年按推断量的 </t>
    </r>
    <r>
      <rPr>
        <sz val="11"/>
        <rFont val="Linux Libertine G"/>
        <family val="2"/>
        <charset val="1"/>
      </rPr>
      <t xml:space="preserve">85–90% </t>
    </r>
    <r>
      <rPr>
        <sz val="11"/>
        <rFont val="Linux Libertine G"/>
        <family val="2"/>
      </rPr>
      <t xml:space="preserve">排产；已宣布的对手车按“当年就上市”算；排产先扣库存</t>
    </r>
  </si>
  <si>
    <r>
      <rPr>
        <sz val="11"/>
        <rFont val="Linux Libertine G"/>
        <family val="2"/>
      </rPr>
      <t xml:space="preserve">三款老车每年提价约 </t>
    </r>
    <r>
      <rPr>
        <sz val="11"/>
        <rFont val="Linux Libertine G"/>
        <family val="2"/>
        <charset val="1"/>
      </rPr>
      <t xml:space="preserve">10%</t>
    </r>
  </si>
  <si>
    <r>
      <rPr>
        <sz val="11"/>
        <rFont val="Linux Libertine G"/>
        <family val="2"/>
        <charset val="1"/>
      </rPr>
      <t xml:space="preserve">Y3 Cafav $26,400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$25,500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$15,290 </t>
    </r>
    <r>
      <rPr>
        <sz val="11"/>
        <rFont val="Linux Libertine G"/>
        <family val="2"/>
      </rPr>
      <t xml:space="preserve">都还缺货 </t>
    </r>
    <r>
      <rPr>
        <sz val="11"/>
        <rFont val="Linux Libertine G"/>
        <family val="2"/>
        <charset val="1"/>
      </rPr>
      <t xml:space="preserve">10–30%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</si>
  <si>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继续往上测</t>
    </r>
  </si>
  <si>
    <r>
      <rPr>
        <sz val="11"/>
        <rFont val="Linux Libertine G"/>
        <family val="2"/>
      </rPr>
      <t xml:space="preserve">新车 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3U Utility</t>
    </r>
    <r>
      <rPr>
        <sz val="11"/>
        <rFont val="Linux Libertine G"/>
        <family val="2"/>
      </rPr>
      <t xml:space="preserve">）：</t>
    </r>
    <r>
      <rPr>
        <sz val="11"/>
        <rFont val="Linux Libertine G"/>
        <family val="2"/>
        <charset val="1"/>
      </rPr>
      <t xml:space="preserve">D4 </t>
    </r>
    <r>
      <rPr>
        <sz val="11"/>
        <rFont val="Linux Libertine G"/>
        <family val="2"/>
      </rPr>
      <t xml:space="preserve">初版做了，</t>
    </r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复查后取消</t>
    </r>
  </si>
  <si>
    <r>
      <rPr>
        <sz val="11"/>
        <rFont val="Linux Libertine G"/>
        <family val="2"/>
      </rPr>
      <t xml:space="preserve">和 ❌</t>
    </r>
    <r>
      <rPr>
        <sz val="11"/>
        <rFont val="Linux Libertine G"/>
        <family val="2"/>
        <charset val="1"/>
      </rPr>
      <t xml:space="preserve">#15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补充测试冲突：</t>
    </r>
    <r>
      <rPr>
        <sz val="11"/>
        <rFont val="Linux Libertine G"/>
        <family val="2"/>
        <charset val="1"/>
      </rPr>
      <t xml:space="preserve">3U </t>
    </r>
    <r>
      <rPr>
        <sz val="11"/>
        <rFont val="Linux Libertine G"/>
        <family val="2"/>
      </rPr>
      <t xml:space="preserve">价格上限 </t>
    </r>
    <r>
      <rPr>
        <sz val="11"/>
        <rFont val="Linux Libertine G"/>
        <family val="2"/>
        <charset val="1"/>
      </rPr>
      <t xml:space="preserve">$26K</t>
    </r>
    <r>
      <rPr>
        <sz val="11"/>
        <rFont val="Linux Libertine G"/>
        <family val="2"/>
      </rPr>
      <t xml:space="preserve">，净收 </t>
    </r>
    <r>
      <rPr>
        <sz val="11"/>
        <rFont val="Linux Libertine G"/>
        <family val="2"/>
        <charset val="1"/>
      </rPr>
      <t xml:space="preserve">$22,880 vs Base Cost $22,055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3U </t>
    </r>
    <r>
      <rPr>
        <sz val="11"/>
        <rFont val="Linux Libertine G"/>
        <family val="2"/>
      </rPr>
      <t xml:space="preserve">里还有 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自己的买家</t>
    </r>
  </si>
  <si>
    <r>
      <rPr>
        <sz val="11"/>
        <rFont val="Linux Libertine G"/>
        <family val="2"/>
      </rPr>
      <t xml:space="preserve">做新车前先算单车毛利、和自家车型的重叠，再看 </t>
    </r>
    <r>
      <rPr>
        <sz val="11"/>
        <rFont val="Linux Libertine G"/>
        <family val="2"/>
        <charset val="1"/>
      </rPr>
      <t xml:space="preserve">Likely to buy</t>
    </r>
  </si>
  <si>
    <r>
      <rPr>
        <sz val="11"/>
        <rFont val="Linux Libertine G"/>
        <family val="2"/>
      </rPr>
      <t xml:space="preserve">新车 </t>
    </r>
    <r>
      <rPr>
        <sz val="11"/>
        <rFont val="Linux Libertine G"/>
        <family val="2"/>
        <charset val="1"/>
      </rPr>
      <t xml:space="preserve">Cargo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卡车）：</t>
    </r>
    <r>
      <rPr>
        <sz val="11"/>
        <rFont val="Linux Libertine G"/>
        <family val="2"/>
        <charset val="1"/>
      </rPr>
      <t xml:space="preserve">D4 </t>
    </r>
    <r>
      <rPr>
        <sz val="11"/>
        <rFont val="Linux Libertine G"/>
        <family val="2"/>
      </rPr>
      <t xml:space="preserve">初版做了，</t>
    </r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复查后取消</t>
    </r>
  </si>
  <si>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补充测试：尺寸 </t>
    </r>
    <r>
      <rPr>
        <sz val="11"/>
        <rFont val="Linux Libertine G"/>
        <family val="2"/>
        <charset val="1"/>
      </rPr>
      <t xml:space="preserve">90 </t>
    </r>
    <r>
      <rPr>
        <sz val="11"/>
        <rFont val="Linux Libertine G"/>
        <family val="2"/>
      </rPr>
      <t xml:space="preserve">被评 </t>
    </r>
    <r>
      <rPr>
        <sz val="11"/>
        <rFont val="Linux Libertine G"/>
        <family val="2"/>
        <charset val="1"/>
      </rPr>
      <t xml:space="preserve">small</t>
    </r>
    <r>
      <rPr>
        <sz val="11"/>
        <rFont val="Linux Libertine G"/>
        <family val="2"/>
      </rPr>
      <t xml:space="preserve">、单车约 </t>
    </r>
    <r>
      <rPr>
        <sz val="11"/>
        <rFont val="Linux Libertine G"/>
        <family val="2"/>
        <charset val="1"/>
      </rPr>
      <t xml:space="preserve">$1,900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是 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最大的市场（</t>
    </r>
    <r>
      <rPr>
        <sz val="11"/>
        <rFont val="Linux Libertine G"/>
        <family val="2"/>
        <charset val="1"/>
      </rPr>
      <t xml:space="preserve">16.1%</t>
    </r>
    <r>
      <rPr>
        <sz val="11"/>
        <rFont val="Linux Libertine G"/>
        <family val="2"/>
      </rPr>
      <t xml:space="preserve">，约 </t>
    </r>
    <r>
      <rPr>
        <sz val="11"/>
        <rFont val="Linux Libertine G"/>
        <family val="2"/>
        <charset val="1"/>
      </rPr>
      <t xml:space="preserve">184K </t>
    </r>
    <r>
      <rPr>
        <sz val="11"/>
        <rFont val="Linux Libertine G"/>
        <family val="2"/>
      </rPr>
      <t xml:space="preserve">辆，单车 </t>
    </r>
    <r>
      <rPr>
        <sz val="11"/>
        <rFont val="Linux Libertine G"/>
        <family val="2"/>
        <charset val="1"/>
      </rPr>
      <t xml:space="preserve">$9,912</t>
    </r>
    <r>
      <rPr>
        <sz val="11"/>
        <rFont val="Linux Libertine G"/>
        <family val="2"/>
      </rPr>
      <t xml:space="preserve">）</t>
    </r>
  </si>
  <si>
    <t xml:space="preserve">同上；新车不要瞄准自家高毛利车的主要市场</t>
  </si>
  <si>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上市：</t>
    </r>
    <r>
      <rPr>
        <sz val="11"/>
        <rFont val="Linux Libertine G"/>
        <family val="2"/>
        <charset val="1"/>
      </rPr>
      <t xml:space="preserve">Interior 5 / Safety 6</t>
    </r>
    <r>
      <rPr>
        <sz val="11"/>
        <rFont val="Linux Libertine G"/>
        <family val="2"/>
      </rPr>
      <t xml:space="preserve">，定价 </t>
    </r>
    <r>
      <rPr>
        <sz val="11"/>
        <rFont val="Linux Libertine G"/>
        <family val="2"/>
        <charset val="1"/>
      </rPr>
      <t xml:space="preserve">$40,000</t>
    </r>
  </si>
  <si>
    <r>
      <rPr>
        <sz val="11"/>
        <rFont val="Linux Libertine G"/>
        <family val="2"/>
        <charset val="1"/>
      </rPr>
      <t xml:space="preserve">Concept Test</t>
    </r>
    <r>
      <rPr>
        <sz val="11"/>
        <rFont val="Linux Libertine G"/>
        <family val="2"/>
      </rPr>
      <t xml:space="preserve">：加配置 </t>
    </r>
    <r>
      <rPr>
        <sz val="11"/>
        <rFont val="Linux Libertine G"/>
        <family val="2"/>
        <charset val="1"/>
      </rPr>
      <t xml:space="preserve">43.8% → 52.1%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$38K 46.7% → $40K 44.1%</t>
    </r>
    <r>
      <rPr>
        <sz val="11"/>
        <rFont val="Linux Libertine G"/>
        <family val="2"/>
      </rPr>
      <t xml:space="preserve">（每个买家的贡献 </t>
    </r>
    <r>
      <rPr>
        <sz val="11"/>
        <rFont val="Linux Libertine G"/>
        <family val="2"/>
        <charset val="1"/>
      </rPr>
      <t xml:space="preserve">+7.7%</t>
    </r>
    <r>
      <rPr>
        <sz val="11"/>
        <rFont val="Linux Libertine G"/>
        <family val="2"/>
      </rPr>
      <t xml:space="preserve">）；实际：</t>
    </r>
    <r>
      <rPr>
        <sz val="11"/>
        <rFont val="Linux Libertine G"/>
        <family val="2"/>
        <charset val="1"/>
      </rPr>
      <t xml:space="preserve">Interior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Safety </t>
    </r>
    <r>
      <rPr>
        <sz val="11"/>
        <rFont val="Linux Libertine G"/>
        <family val="2"/>
      </rPr>
      <t xml:space="preserve">都评 </t>
    </r>
    <r>
      <rPr>
        <sz val="11"/>
        <rFont val="Linux Libertine G"/>
        <family val="2"/>
        <charset val="1"/>
      </rPr>
      <t xml:space="preserve">best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$40K </t>
    </r>
    <r>
      <rPr>
        <sz val="11"/>
        <rFont val="Linux Libertine G"/>
        <family val="2"/>
      </rPr>
      <t xml:space="preserve">价格评 </t>
    </r>
    <r>
      <rPr>
        <sz val="11"/>
        <rFont val="Linux Libertine G"/>
        <family val="2"/>
        <charset val="1"/>
      </rPr>
      <t xml:space="preserve">poor </t>
    </r>
    <r>
      <rPr>
        <sz val="11"/>
        <rFont val="Linux Libertine G"/>
        <family val="2"/>
      </rPr>
      <t xml:space="preserve">但仍缺货 </t>
    </r>
    <r>
      <rPr>
        <sz val="11"/>
        <rFont val="Linux Libertine G"/>
        <family val="2"/>
        <charset val="1"/>
      </rPr>
      <t xml:space="preserve">&gt;30%</t>
    </r>
  </si>
  <si>
    <r>
      <rPr>
        <sz val="11"/>
        <rFont val="Linux Libertine G"/>
        <family val="2"/>
        <charset val="1"/>
      </rPr>
      <t xml:space="preserve">D5 Test Market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$44K </t>
    </r>
    <r>
      <rPr>
        <sz val="11"/>
        <rFont val="Linux Libertine G"/>
        <family val="2"/>
      </rPr>
      <t xml:space="preserve">份额不变，提到 </t>
    </r>
    <r>
      <rPr>
        <sz val="11"/>
        <rFont val="Linux Libertine G"/>
        <family val="2"/>
        <charset val="1"/>
      </rPr>
      <t xml:space="preserve">$44K</t>
    </r>
  </si>
  <si>
    <r>
      <rPr>
        <sz val="11"/>
        <rFont val="Linux Libertine G"/>
        <family val="2"/>
        <charset val="1"/>
      </rPr>
      <t xml:space="preserve">Cafav $29,000</t>
    </r>
    <r>
      <rPr>
        <sz val="11"/>
        <rFont val="Linux Libertine G"/>
        <family val="2"/>
      </rPr>
      <t xml:space="preserve">、排 </t>
    </r>
    <r>
      <rPr>
        <sz val="11"/>
        <rFont val="Linux Libertine G"/>
        <family val="2"/>
        <charset val="1"/>
      </rPr>
      <t xml:space="preserve">1,150K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排 </t>
    </r>
    <r>
      <rPr>
        <sz val="11"/>
        <rFont val="Linux Libertine G"/>
        <family val="2"/>
        <charset val="1"/>
      </rPr>
      <t xml:space="preserve">520K</t>
    </r>
    <r>
      <rPr>
        <sz val="11"/>
        <rFont val="Linux Libertine G"/>
        <family val="2"/>
      </rPr>
      <t xml:space="preserve">（都比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多排）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</si>
  <si>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9.1% </t>
    </r>
    <r>
      <rPr>
        <sz val="11"/>
        <rFont val="Linux Libertine G"/>
        <family val="2"/>
      </rPr>
      <t xml:space="preserve">不变；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三款老车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加满仍缺货 </t>
    </r>
    <r>
      <rPr>
        <sz val="11"/>
        <rFont val="Linux Libertine G"/>
        <family val="2"/>
        <charset val="1"/>
      </rPr>
      <t xml:space="preserve">10–30%</t>
    </r>
    <r>
      <rPr>
        <sz val="11"/>
        <rFont val="Linux Libertine G"/>
        <family val="2"/>
      </rPr>
      <t xml:space="preserve">；老师视频：缺货就是没赚到的钱；实际：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卖 </t>
    </r>
    <r>
      <rPr>
        <sz val="11"/>
        <rFont val="Linux Libertine G"/>
        <family val="2"/>
        <charset val="1"/>
      </rPr>
      <t xml:space="preserve">1,094K</t>
    </r>
    <r>
      <rPr>
        <sz val="11"/>
        <rFont val="Linux Libertine G"/>
        <family val="2"/>
      </rPr>
      <t xml:space="preserve">、压 </t>
    </r>
    <r>
      <rPr>
        <sz val="11"/>
        <rFont val="Linux Libertine G"/>
        <family val="2"/>
        <charset val="1"/>
      </rPr>
      <t xml:space="preserve">56K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卖 </t>
    </r>
    <r>
      <rPr>
        <sz val="11"/>
        <rFont val="Linux Libertine G"/>
        <family val="2"/>
        <charset val="1"/>
      </rPr>
      <t xml:space="preserve">502K</t>
    </r>
    <r>
      <rPr>
        <sz val="11"/>
        <rFont val="Linux Libertine G"/>
        <family val="2"/>
      </rPr>
      <t xml:space="preserve">、压 </t>
    </r>
    <r>
      <rPr>
        <sz val="11"/>
        <rFont val="Linux Libertine G"/>
        <family val="2"/>
        <charset val="1"/>
      </rPr>
      <t xml:space="preserve">18K</t>
    </r>
    <r>
      <rPr>
        <sz val="11"/>
        <rFont val="Linux Libertine G"/>
        <family val="2"/>
      </rPr>
      <t xml:space="preserve">；同时 </t>
    </r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&gt;30%</t>
    </r>
  </si>
  <si>
    <t xml:space="preserve">产能按单车贡献分配；多排给缺货的高毛利车</t>
  </si>
  <si>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做降成本（属性已全 </t>
    </r>
    <r>
      <rPr>
        <sz val="11"/>
        <rFont val="Linux Libertine G"/>
        <family val="2"/>
        <charset val="1"/>
      </rPr>
      <t xml:space="preserve">best </t>
    </r>
    <r>
      <rPr>
        <sz val="11"/>
        <rFont val="Linux Libertine G"/>
        <family val="2"/>
      </rPr>
      <t xml:space="preserve">的车）</t>
    </r>
  </si>
  <si>
    <r>
      <rPr>
        <sz val="11"/>
        <rFont val="Linux Libertine G"/>
        <family val="2"/>
        <charset val="1"/>
      </rPr>
      <t xml:space="preserve">Canyon $20,447 → $20,134</t>
    </r>
    <r>
      <rPr>
        <sz val="11"/>
        <rFont val="Linux Libertine G"/>
        <family val="2"/>
      </rPr>
      <t xml:space="preserve">（库存不报废）；</t>
    </r>
    <r>
      <rPr>
        <sz val="11"/>
        <rFont val="Linux Libertine G"/>
        <family val="2"/>
        <charset val="1"/>
      </rPr>
      <t xml:space="preserve">Cafav $15,186 → $14,887</t>
    </r>
    <r>
      <rPr>
        <sz val="11"/>
        <rFont val="Linux Libertine G"/>
        <family val="2"/>
      </rPr>
      <t xml:space="preserve">；各 </t>
    </r>
    <r>
      <rPr>
        <sz val="11"/>
        <rFont val="Linux Libertine G"/>
        <family val="2"/>
        <charset val="1"/>
      </rPr>
      <t xml:space="preserve">$192M + retooling</t>
    </r>
    <r>
      <rPr>
        <sz val="11"/>
        <rFont val="Linux Libertine G"/>
        <family val="2"/>
      </rPr>
      <t xml:space="preserve">。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的降成本 </t>
    </r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晚换成 </t>
    </r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；实际：实际单车成本 </t>
    </r>
    <r>
      <rPr>
        <sz val="11"/>
        <rFont val="Linux Libertine G"/>
        <family val="2"/>
        <charset val="1"/>
      </rPr>
      <t xml:space="preserve">Canyon $20,134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$14,887</t>
    </r>
    <r>
      <rPr>
        <sz val="11"/>
        <rFont val="Linux Libertine G"/>
        <family val="2"/>
      </rPr>
      <t xml:space="preserve">，和 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一致；</t>
    </r>
    <r>
      <rPr>
        <sz val="11"/>
        <rFont val="Linux Libertine G"/>
        <family val="2"/>
        <charset val="1"/>
      </rPr>
      <t xml:space="preserve">Canyon 65K </t>
    </r>
    <r>
      <rPr>
        <sz val="11"/>
        <rFont val="Linux Libertine G"/>
        <family val="2"/>
      </rPr>
      <t xml:space="preserve">库存全部卖掉</t>
    </r>
  </si>
  <si>
    <r>
      <rPr>
        <sz val="11"/>
        <rFont val="Linux Libertine G"/>
        <family val="2"/>
      </rPr>
      <t xml:space="preserve">看实际单车成本和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65K </t>
    </r>
    <r>
      <rPr>
        <sz val="11"/>
        <rFont val="Linux Libertine G"/>
        <family val="2"/>
      </rPr>
      <t xml:space="preserve">库存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</si>
  <si>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广告 </t>
    </r>
    <r>
      <rPr>
        <sz val="11"/>
        <rFont val="Linux Libertine G"/>
        <family val="2"/>
        <charset val="1"/>
      </rPr>
      <t xml:space="preserve">$300M / </t>
    </r>
    <r>
      <rPr>
        <sz val="11"/>
        <rFont val="Linux Libertine G"/>
        <family val="2"/>
      </rPr>
      <t xml:space="preserve">促销 </t>
    </r>
    <r>
      <rPr>
        <sz val="11"/>
        <rFont val="Linux Libertine G"/>
        <family val="2"/>
        <charset val="1"/>
      </rPr>
      <t xml:space="preserve">$120M</t>
    </r>
  </si>
  <si>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：知名度 </t>
    </r>
    <r>
      <rPr>
        <sz val="11"/>
        <rFont val="Linux Libertine G"/>
        <family val="2"/>
        <charset val="1"/>
      </rPr>
      <t xml:space="preserve">22.3% → 26.9%</t>
    </r>
    <r>
      <rPr>
        <sz val="11"/>
        <rFont val="Linux Libertine G"/>
        <family val="2"/>
      </rPr>
      <t xml:space="preserve">，份额 </t>
    </r>
    <r>
      <rPr>
        <sz val="11"/>
        <rFont val="Linux Libertine G"/>
        <family val="2"/>
        <charset val="1"/>
      </rPr>
      <t xml:space="preserve">5.5% → 6.4%</t>
    </r>
    <r>
      <rPr>
        <sz val="11"/>
        <rFont val="Linux Libertine G"/>
        <family val="2"/>
      </rPr>
      <t xml:space="preserve">；实际：知名度 </t>
    </r>
    <r>
      <rPr>
        <sz val="11"/>
        <rFont val="Linux Libertine G"/>
        <family val="2"/>
        <charset val="1"/>
      </rPr>
      <t xml:space="preserve">41.0%</t>
    </r>
    <r>
      <rPr>
        <sz val="11"/>
        <rFont val="Linux Libertine G"/>
        <family val="2"/>
      </rPr>
      <t xml:space="preserve">；份额 </t>
    </r>
    <r>
      <rPr>
        <sz val="11"/>
        <rFont val="Linux Libertine G"/>
        <family val="2"/>
        <charset val="1"/>
      </rPr>
      <t xml:space="preserve">6.0%</t>
    </r>
    <r>
      <rPr>
        <sz val="11"/>
        <rFont val="Linux Libertine G"/>
        <family val="2"/>
      </rPr>
      <t xml:space="preserve">（被产量卡住），缺货 </t>
    </r>
    <r>
      <rPr>
        <sz val="11"/>
        <rFont val="Linux Libertine G"/>
        <family val="2"/>
        <charset val="1"/>
      </rPr>
      <t xml:space="preserve">&gt;30%</t>
    </r>
  </si>
  <si>
    <r>
      <rPr>
        <sz val="11"/>
        <rFont val="Linux Libertine G"/>
        <family val="2"/>
        <charset val="1"/>
      </rPr>
      <t xml:space="preserve">D5 Test Market</t>
    </r>
    <r>
      <rPr>
        <sz val="11"/>
        <rFont val="Linux Libertine G"/>
        <family val="2"/>
      </rPr>
      <t xml:space="preserve">：广告减到 </t>
    </r>
    <r>
      <rPr>
        <sz val="11"/>
        <rFont val="Linux Libertine G"/>
        <family val="2"/>
        <charset val="1"/>
      </rPr>
      <t xml:space="preserve">200 / 80 </t>
    </r>
    <r>
      <rPr>
        <sz val="11"/>
        <rFont val="Linux Libertine G"/>
        <family val="2"/>
      </rPr>
      <t xml:space="preserve">份额不变，但知名度降到 </t>
    </r>
    <r>
      <rPr>
        <sz val="11"/>
        <rFont val="Linux Libertine G"/>
        <family val="2"/>
        <charset val="1"/>
      </rPr>
      <t xml:space="preserve">37.6%</t>
    </r>
  </si>
  <si>
    <r>
      <rPr>
        <sz val="11"/>
        <rFont val="Linux Libertine G"/>
        <family val="2"/>
      </rPr>
      <t xml:space="preserve">买 </t>
    </r>
    <r>
      <rPr>
        <sz val="11"/>
        <rFont val="Linux Libertine G"/>
        <family val="2"/>
        <charset val="1"/>
      </rPr>
      <t xml:space="preserve">$10,000M CD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3.5%</t>
    </r>
    <r>
      <rPr>
        <sz val="11"/>
        <rFont val="Linux Libertine G"/>
        <family val="2"/>
      </rPr>
      <t xml:space="preserve">，系统上限）</t>
    </r>
  </si>
  <si>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利息收入 </t>
    </r>
    <r>
      <rPr>
        <sz val="11"/>
        <rFont val="Linux Libertine G"/>
        <family val="2"/>
        <charset val="1"/>
      </rPr>
      <t xml:space="preserve">$350M</t>
    </r>
    <r>
      <rPr>
        <sz val="11"/>
        <rFont val="Linux Libertine G"/>
        <family val="2"/>
      </rPr>
      <t xml:space="preserve">；期末现金仍有 </t>
    </r>
    <r>
      <rPr>
        <sz val="11"/>
        <rFont val="Linux Libertine G"/>
        <family val="2"/>
        <charset val="1"/>
      </rPr>
      <t xml:space="preserve">$8.6B</t>
    </r>
    <r>
      <rPr>
        <sz val="11"/>
        <rFont val="Linux Libertine G"/>
        <family val="2"/>
      </rPr>
      <t xml:space="preserve">；实际：利息收入 </t>
    </r>
    <r>
      <rPr>
        <sz val="11"/>
        <rFont val="Linux Libertine G"/>
        <family val="2"/>
        <charset val="1"/>
      </rPr>
      <t xml:space="preserve">$350M</t>
    </r>
    <r>
      <rPr>
        <sz val="11"/>
        <rFont val="Linux Libertine G"/>
        <family val="2"/>
      </rPr>
      <t xml:space="preserve">；期末现金 </t>
    </r>
    <r>
      <rPr>
        <sz val="11"/>
        <rFont val="Linux Libertine G"/>
        <family val="2"/>
        <charset val="1"/>
      </rPr>
      <t xml:space="preserve">$8.6B</t>
    </r>
  </si>
  <si>
    <t xml:space="preserve">看现金够不够</t>
  </si>
  <si>
    <r>
      <rPr>
        <sz val="11"/>
        <rFont val="Linux Libertine G"/>
        <family val="2"/>
      </rPr>
      <t xml:space="preserve">新车 </t>
    </r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Sports</t>
    </r>
    <r>
      <rPr>
        <sz val="11"/>
        <rFont val="Linux Libertine G"/>
        <family val="2"/>
      </rPr>
      <t xml:space="preserve">，瞄准 </t>
    </r>
    <r>
      <rPr>
        <sz val="11"/>
        <rFont val="Linux Libertine G"/>
        <family val="2"/>
        <charset val="1"/>
      </rPr>
      <t xml:space="preserve">3S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上市）：用户想“整活”</t>
    </r>
  </si>
  <si>
    <r>
      <rPr>
        <sz val="11"/>
        <rFont val="Linux Libertine G"/>
        <family val="2"/>
        <charset val="1"/>
      </rPr>
      <t xml:space="preserve">3S </t>
    </r>
    <r>
      <rPr>
        <sz val="11"/>
        <rFont val="Linux Libertine G"/>
        <family val="2"/>
      </rPr>
      <t xml:space="preserve">想要 </t>
    </r>
    <r>
      <rPr>
        <sz val="11"/>
        <rFont val="Linux Libertine G"/>
        <family val="2"/>
        <charset val="1"/>
      </rPr>
      <t xml:space="preserve">Sports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540K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+15.7%</t>
    </r>
    <r>
      <rPr>
        <sz val="11"/>
        <rFont val="Linux Libertine G"/>
        <family val="2"/>
      </rPr>
      <t xml:space="preserve">，没有跑车；每辆约 </t>
    </r>
    <r>
      <rPr>
        <sz val="11"/>
        <rFont val="Linux Libertine G"/>
        <family val="2"/>
        <charset val="1"/>
      </rPr>
      <t xml:space="preserve">$7,600</t>
    </r>
    <r>
      <rPr>
        <sz val="11"/>
        <rFont val="Linux Libertine G"/>
        <family val="2"/>
      </rPr>
      <t xml:space="preserve">；只卖一年，基准税后约 −</t>
    </r>
    <r>
      <rPr>
        <sz val="11"/>
        <rFont val="Linux Libertine G"/>
        <family val="2"/>
        <charset val="1"/>
      </rPr>
      <t xml:space="preserve">$0.3B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D5 Concept Test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3S $32K 57.0%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$34K 55.4%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$36K 53.6%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$38K 51.3%</t>
    </r>
    <r>
      <rPr>
        <sz val="11"/>
        <rFont val="Linux Libertine G"/>
        <family val="2"/>
      </rPr>
      <t xml:space="preserve">（属性全 </t>
    </r>
    <r>
      <rPr>
        <sz val="11"/>
        <rFont val="Linux Libertine G"/>
        <family val="2"/>
        <charset val="1"/>
      </rPr>
      <t xml:space="preserve">best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4S $36K 56.4%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3U </t>
    </r>
    <r>
      <rPr>
        <sz val="11"/>
        <rFont val="Linux Libertine G"/>
        <family val="2"/>
      </rPr>
      <t xml:space="preserve">只有 </t>
    </r>
    <r>
      <rPr>
        <sz val="11"/>
        <rFont val="Linux Libertine G"/>
        <family val="2"/>
        <charset val="1"/>
      </rPr>
      <t xml:space="preserve">1.1%</t>
    </r>
  </si>
  <si>
    <r>
      <rPr>
        <sz val="11"/>
        <rFont val="Linux Libertine G"/>
        <family val="2"/>
        <charset val="1"/>
      </rPr>
      <t xml:space="preserve">D5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测 </t>
    </r>
    <r>
      <rPr>
        <sz val="11"/>
        <rFont val="Linux Libertine G"/>
        <family val="2"/>
        <charset val="1"/>
      </rPr>
      <t xml:space="preserve">3S / 4S</t>
    </r>
    <r>
      <rPr>
        <sz val="11"/>
        <rFont val="Linux Libertine G"/>
        <family val="2"/>
      </rPr>
      <t xml:space="preserve">，数字不好就砍；看 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份额和市值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</si>
  <si>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因为担心 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只排 </t>
    </r>
    <r>
      <rPr>
        <sz val="11"/>
        <rFont val="Linux Libertine G"/>
        <family val="2"/>
        <charset val="1"/>
      </rPr>
      <t xml:space="preserve">600K</t>
    </r>
  </si>
  <si>
    <r>
      <rPr>
        <sz val="11"/>
        <rFont val="Linux Libertine G"/>
        <family val="2"/>
        <charset val="1"/>
      </rPr>
      <t xml:space="preserve">du004 </t>
    </r>
    <r>
      <rPr>
        <sz val="11"/>
        <rFont val="Linux Libertine G"/>
        <family val="2"/>
      </rPr>
      <t xml:space="preserve">只拿到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7.4%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$30K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Canyon 41.7% </t>
    </r>
    <r>
      <rPr>
        <sz val="11"/>
        <rFont val="Linux Libertine G"/>
        <family val="2"/>
      </rPr>
      <t xml:space="preserve">第一，卖 </t>
    </r>
    <r>
      <rPr>
        <sz val="11"/>
        <rFont val="Linux Libertine G"/>
        <family val="2"/>
        <charset val="1"/>
      </rPr>
      <t xml:space="preserve">725K </t>
    </r>
    <r>
      <rPr>
        <sz val="11"/>
        <rFont val="Linux Libertine G"/>
        <family val="2"/>
      </rPr>
      <t xml:space="preserve">仍缺货 </t>
    </r>
    <r>
      <rPr>
        <sz val="11"/>
        <rFont val="Linux Libertine G"/>
        <family val="2"/>
        <charset val="1"/>
      </rPr>
      <t xml:space="preserve">&gt;30%</t>
    </r>
  </si>
  <si>
    <t xml:space="preserve">对手新车不一定抢得动；按缺货信号排产</t>
  </si>
  <si>
    <r>
      <rPr>
        <sz val="11"/>
        <rFont val="Linux Libertine G"/>
        <family val="2"/>
        <charset val="1"/>
      </rPr>
      <t xml:space="preserve">Cafav minor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Safety 6 / Quality 5</t>
    </r>
    <r>
      <rPr>
        <sz val="11"/>
        <rFont val="Linux Libertine G"/>
        <family val="2"/>
      </rPr>
      <t xml:space="preserve">）对付 </t>
    </r>
    <r>
      <rPr>
        <sz val="11"/>
        <rFont val="Linux Libertine G"/>
        <family val="2"/>
        <charset val="1"/>
      </rPr>
      <t xml:space="preserve">Alfa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6 / 6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</si>
  <si>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Alfa </t>
    </r>
    <r>
      <rPr>
        <sz val="11"/>
        <rFont val="Linux Libertine G"/>
        <family val="2"/>
      </rPr>
      <t xml:space="preserve">升级后 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22.3% → 19.6%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升级版 </t>
    </r>
    <r>
      <rPr>
        <sz val="11"/>
        <rFont val="Linux Libertine G"/>
        <family val="2"/>
        <charset val="1"/>
      </rPr>
      <t xml:space="preserve">Safety </t>
    </r>
    <r>
      <rPr>
        <sz val="11"/>
        <rFont val="Linux Libertine G"/>
        <family val="2"/>
      </rPr>
      <t xml:space="preserve">评 </t>
    </r>
    <r>
      <rPr>
        <sz val="11"/>
        <rFont val="Linux Libertine G"/>
        <family val="2"/>
        <charset val="1"/>
      </rPr>
      <t xml:space="preserve">best</t>
    </r>
  </si>
  <si>
    <r>
      <rPr>
        <sz val="11"/>
        <rFont val="Linux Libertine G"/>
        <family val="2"/>
      </rPr>
      <t xml:space="preserve">看 </t>
    </r>
    <r>
      <rPr>
        <sz val="11"/>
        <rFont val="Linux Libertine G"/>
        <family val="2"/>
        <charset val="1"/>
      </rPr>
      <t xml:space="preserve">Y5 2F </t>
    </r>
    <r>
      <rPr>
        <sz val="11"/>
        <rFont val="Linux Libertine G"/>
        <family val="2"/>
      </rPr>
      <t xml:space="preserve">份额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</si>
  <si>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Y5</t>
    </r>
  </si>
  <si>
    <r>
      <rPr>
        <sz val="11"/>
        <rFont val="Linux Libertine G"/>
        <family val="2"/>
        <charset val="1"/>
      </rPr>
      <t xml:space="preserve">Cosmo $44K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$18,150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Canyon $40K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$30K</t>
    </r>
  </si>
  <si>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Cosmo +$1,056M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+$567M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Canyon +$725M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+$68M</t>
    </r>
  </si>
  <si>
    <t xml:space="preserve">看是否还缺货</t>
  </si>
  <si>
    <r>
      <rPr>
        <sz val="11"/>
        <rFont val="Linux Libertine G"/>
        <family val="2"/>
      </rPr>
      <t xml:space="preserve">按单车贡献排产：</t>
    </r>
    <r>
      <rPr>
        <sz val="11"/>
        <rFont val="Linux Libertine G"/>
        <family val="2"/>
        <charset val="1"/>
      </rPr>
      <t xml:space="preserve">Canyon 820K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 330K </t>
    </r>
    <r>
      <rPr>
        <sz val="11"/>
        <rFont val="Linux Libertine G"/>
        <family val="2"/>
      </rPr>
      <t xml:space="preserve">多排；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按去年销量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</si>
  <si>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的教训；经济预测 </t>
    </r>
    <r>
      <rPr>
        <sz val="11"/>
        <rFont val="Linux Libertine G"/>
        <family val="2"/>
        <charset val="1"/>
      </rPr>
      <t xml:space="preserve">GDP −1.5%</t>
    </r>
    <r>
      <rPr>
        <sz val="11"/>
        <rFont val="Linux Libertine G"/>
        <family val="2"/>
      </rPr>
      <t xml:space="preserve">、油价 </t>
    </r>
    <r>
      <rPr>
        <sz val="11"/>
        <rFont val="Linux Libertine G"/>
        <family val="2"/>
        <charset val="1"/>
      </rPr>
      <t xml:space="preserve">$4.90</t>
    </r>
  </si>
  <si>
    <t xml:space="preserve">看缺货和库存</t>
  </si>
  <si>
    <r>
      <rPr>
        <sz val="11"/>
        <rFont val="Linux Libertine G"/>
        <family val="2"/>
        <charset val="1"/>
      </rPr>
      <t xml:space="preserve">Safety +1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$402M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</si>
  <si>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为 </t>
    </r>
    <r>
      <rPr>
        <sz val="11"/>
        <rFont val="Linux Libertine G"/>
        <family val="2"/>
        <charset val="1"/>
      </rPr>
      <t xml:space="preserve">Y6 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做 </t>
    </r>
    <r>
      <rPr>
        <sz val="11"/>
        <rFont val="Linux Libertine G"/>
        <family val="2"/>
        <charset val="1"/>
      </rPr>
      <t xml:space="preserve">minor </t>
    </r>
    <r>
      <rPr>
        <sz val="11"/>
        <rFont val="Linux Libertine G"/>
        <family val="2"/>
      </rPr>
      <t xml:space="preserve">到 </t>
    </r>
    <r>
      <rPr>
        <sz val="11"/>
        <rFont val="Linux Libertine G"/>
        <family val="2"/>
        <charset val="1"/>
      </rPr>
      <t xml:space="preserve">Safety 7</t>
    </r>
    <r>
      <rPr>
        <sz val="11"/>
        <rFont val="Linux Libertine G"/>
        <family val="2"/>
      </rPr>
      <t xml:space="preserve">（比 </t>
    </r>
    <r>
      <rPr>
        <sz val="11"/>
        <rFont val="Linux Libertine G"/>
        <family val="2"/>
        <charset val="1"/>
      </rPr>
      <t xml:space="preserve">Alfa </t>
    </r>
    <r>
      <rPr>
        <sz val="11"/>
        <rFont val="Linux Libertine G"/>
        <family val="2"/>
      </rPr>
      <t xml:space="preserve">高一级）</t>
    </r>
  </si>
  <si>
    <r>
      <rPr>
        <sz val="11"/>
        <rFont val="Linux Libertine G"/>
        <family val="2"/>
      </rPr>
      <t xml:space="preserve">看 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份额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</si>
  <si>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Y6</t>
    </r>
  </si>
  <si>
    <r>
      <rPr>
        <sz val="11"/>
        <rFont val="Linux Libertine G"/>
        <family val="2"/>
      </rPr>
      <t xml:space="preserve">企业广告 </t>
    </r>
    <r>
      <rPr>
        <sz val="11"/>
        <rFont val="Linux Libertine G"/>
        <family val="2"/>
        <charset val="1"/>
      </rPr>
      <t xml:space="preserve">$410M → $630M</t>
    </r>
    <r>
      <rPr>
        <sz val="11"/>
        <rFont val="Linux Libertine G"/>
        <family val="2"/>
      </rPr>
      <t xml:space="preserve">，营销回到营收的 </t>
    </r>
    <r>
      <rPr>
        <sz val="11"/>
        <rFont val="Linux Libertine G"/>
        <family val="2"/>
        <charset val="1"/>
      </rPr>
      <t xml:space="preserve">2%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</si>
  <si>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：营销 </t>
    </r>
    <r>
      <rPr>
        <sz val="11"/>
        <rFont val="Linux Libertine G"/>
        <family val="2"/>
        <charset val="1"/>
      </rPr>
      <t xml:space="preserve">1.7% </t>
    </r>
    <r>
      <rPr>
        <sz val="11"/>
        <rFont val="Linux Libertine G"/>
        <family val="2"/>
      </rPr>
      <t xml:space="preserve">时偏好度掉到第 </t>
    </r>
    <r>
      <rPr>
        <sz val="11"/>
        <rFont val="Linux Libertine G"/>
        <family val="2"/>
        <charset val="1"/>
      </rPr>
      <t xml:space="preserve">5</t>
    </r>
  </si>
  <si>
    <t xml:space="preserve">看偏好度</t>
  </si>
  <si>
    <r>
      <rPr>
        <sz val="11"/>
        <rFont val="Linux Libertine G"/>
        <family val="2"/>
      </rPr>
      <t xml:space="preserve">分红 </t>
    </r>
    <r>
      <rPr>
        <sz val="11"/>
        <rFont val="Linux Libertine G"/>
        <family val="2"/>
        <charset val="1"/>
      </rPr>
      <t xml:space="preserve">$100M → $1,440M</t>
    </r>
    <r>
      <rPr>
        <sz val="11"/>
        <rFont val="Linux Libertine G"/>
        <family val="2"/>
      </rPr>
      <t xml:space="preserve">（每股 </t>
    </r>
    <r>
      <rPr>
        <sz val="11"/>
        <rFont val="Linux Libertine G"/>
        <family val="2"/>
        <charset val="1"/>
      </rPr>
      <t xml:space="preserve">$2.00</t>
    </r>
    <r>
      <rPr>
        <sz val="11"/>
        <rFont val="Linux Libertine G"/>
        <family val="2"/>
      </rPr>
      <t xml:space="preserve">，用户要求）</t>
    </r>
  </si>
  <si>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上限以外的现金没有利息；分红不影响净利</t>
    </r>
  </si>
  <si>
    <r>
      <rPr>
        <sz val="11"/>
        <rFont val="Linux Libertine G"/>
        <family val="2"/>
      </rPr>
      <t xml:space="preserve">看 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股价和市值（和不分红的对手比）</t>
    </r>
  </si>
  <si>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产能 </t>
    </r>
    <r>
      <rPr>
        <sz val="11"/>
        <rFont val="Linux Libertine G"/>
        <family val="2"/>
        <charset val="1"/>
      </rPr>
      <t xml:space="preserve">+500K </t>
    </r>
    <r>
      <rPr>
        <sz val="11"/>
        <rFont val="Linux Libertine G"/>
        <family val="2"/>
      </rPr>
      <t xml:space="preserve">到 </t>
    </r>
    <r>
      <rPr>
        <sz val="11"/>
        <rFont val="Linux Libertine G"/>
        <family val="2"/>
        <charset val="1"/>
      </rPr>
      <t xml:space="preserve">3,950K</t>
    </r>
    <r>
      <rPr>
        <sz val="11"/>
        <rFont val="Linux Libertine G"/>
        <family val="2"/>
      </rPr>
      <t xml:space="preserve">（原计划 </t>
    </r>
    <r>
      <rPr>
        <sz val="11"/>
        <rFont val="Linux Libertine G"/>
        <family val="2"/>
        <charset val="1"/>
      </rPr>
      <t xml:space="preserve">+200K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</si>
  <si>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新产能每辆每年折旧约 </t>
    </r>
    <r>
      <rPr>
        <sz val="11"/>
        <rFont val="Linux Libertine G"/>
        <family val="2"/>
        <charset val="1"/>
      </rPr>
      <t xml:space="preserve">$620</t>
    </r>
    <r>
      <rPr>
        <sz val="11"/>
        <rFont val="Linux Libertine G"/>
        <family val="2"/>
      </rPr>
      <t xml:space="preserve">，超产一辆 </t>
    </r>
    <r>
      <rPr>
        <sz val="11"/>
        <rFont val="Linux Libertine G"/>
        <family val="2"/>
        <charset val="1"/>
      </rPr>
      <t xml:space="preserve">$2,200 </t>
    </r>
    <r>
      <rPr>
        <sz val="11"/>
        <rFont val="Linux Libertine G"/>
        <family val="2"/>
      </rPr>
      <t xml:space="preserve">以上；</t>
    </r>
    <r>
      <rPr>
        <sz val="11"/>
        <rFont val="Linux Libertine G"/>
        <family val="2"/>
        <charset val="1"/>
      </rPr>
      <t xml:space="preserve">Y6 Chow </t>
    </r>
    <r>
      <rPr>
        <sz val="11"/>
        <rFont val="Linux Libertine G"/>
        <family val="2"/>
      </rPr>
      <t xml:space="preserve">上市</t>
    </r>
  </si>
  <si>
    <r>
      <rPr>
        <sz val="11"/>
        <rFont val="Linux Libertine G"/>
        <family val="2"/>
      </rPr>
      <t xml:space="preserve">看 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利用率</t>
    </r>
  </si>
  <si>
    <r>
      <rPr>
        <sz val="11"/>
        <rFont val="Linux Libertine G"/>
        <family val="2"/>
      </rPr>
      <t xml:space="preserve">营销 </t>
    </r>
    <r>
      <rPr>
        <sz val="11"/>
        <rFont val="Linux Libertine G"/>
        <family val="2"/>
        <charset val="1"/>
      </rPr>
      <t xml:space="preserve">$1,753M → $2,213M</t>
    </r>
    <r>
      <rPr>
        <sz val="11"/>
        <rFont val="Linux Libertine G"/>
        <family val="2"/>
      </rPr>
      <t xml:space="preserve">（营收 </t>
    </r>
    <r>
      <rPr>
        <sz val="11"/>
        <rFont val="Linux Libertine G"/>
        <family val="2"/>
        <charset val="1"/>
      </rPr>
      <t xml:space="preserve">2.5%</t>
    </r>
    <r>
      <rPr>
        <sz val="11"/>
        <rFont val="Linux Libertine G"/>
        <family val="2"/>
      </rPr>
      <t xml:space="preserve">）：企业广告 </t>
    </r>
    <r>
      <rPr>
        <sz val="11"/>
        <rFont val="Linux Libertine G"/>
        <family val="2"/>
        <charset val="1"/>
      </rPr>
      <t xml:space="preserve">$900M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250 / 150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130 / 50</t>
    </r>
    <r>
      <rPr>
        <sz val="11"/>
        <rFont val="Linux Libertine G"/>
        <family val="2"/>
      </rPr>
      <t xml:space="preserve">；缺货的三款不加</t>
    </r>
  </si>
  <si>
    <r>
      <rPr>
        <sz val="11"/>
        <rFont val="Linux Libertine G"/>
        <family val="2"/>
        <charset val="1"/>
      </rPr>
      <t xml:space="preserve">Cafav $30K </t>
    </r>
    <r>
      <rPr>
        <sz val="11"/>
        <rFont val="Linux Libertine G"/>
        <family val="2"/>
      </rPr>
      <t xml:space="preserve">被评 </t>
    </r>
    <r>
      <rPr>
        <sz val="11"/>
        <rFont val="Linux Libertine G"/>
        <family val="2"/>
        <charset val="1"/>
      </rPr>
      <t xml:space="preserve">worst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Concept Test 5.4%</t>
    </r>
    <r>
      <rPr>
        <sz val="11"/>
        <rFont val="Linux Libertine G"/>
        <family val="2"/>
      </rPr>
      <t xml:space="preserve">），衰退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油价 </t>
    </r>
    <r>
      <rPr>
        <sz val="11"/>
        <rFont val="Linux Libertine G"/>
        <family val="2"/>
        <charset val="1"/>
      </rPr>
      <t xml:space="preserve">$4.90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有压库存风险；课程把营销占营收 </t>
    </r>
    <r>
      <rPr>
        <sz val="11"/>
        <rFont val="Linux Libertine G"/>
        <family val="2"/>
        <charset val="1"/>
      </rPr>
      <t xml:space="preserve">2–4% </t>
    </r>
    <r>
      <rPr>
        <sz val="11"/>
        <rFont val="Linux Libertine G"/>
        <family val="2"/>
      </rPr>
      <t xml:space="preserve">列为市值因素；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用完了没测</t>
    </r>
  </si>
  <si>
    <r>
      <rPr>
        <sz val="11"/>
        <rFont val="Linux Libertine G"/>
        <family val="2"/>
      </rPr>
      <t xml:space="preserve">看 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偏好度、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的库存、市值</t>
    </r>
  </si>
  <si>
    <t xml:space="preserve">统计</t>
  </si>
  <si>
    <t xml:space="preserve">✅ 有效</t>
  </si>
  <si>
    <t xml:space="preserve">❌ 不好</t>
  </si>
  <si>
    <t xml:space="preserve">⏳ 待验证</t>
  </si>
  <si>
    <t xml:space="preserve">⬜ 正式比赛再验证</t>
  </si>
  <si>
    <t xml:space="preserve">每一年的操作流程（我们实际在用的做法）</t>
  </si>
  <si>
    <r>
      <rPr>
        <i val="true"/>
        <sz val="11"/>
        <color rgb="FF595959"/>
        <rFont val="Linux Libertine G"/>
        <family val="2"/>
      </rPr>
      <t xml:space="preserve">按顺序做。第 </t>
    </r>
    <r>
      <rPr>
        <i val="true"/>
        <sz val="11"/>
        <color rgb="FF595959"/>
        <rFont val="Linux Libertine G"/>
        <family val="2"/>
        <charset val="1"/>
      </rPr>
      <t xml:space="preserve">3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5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6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10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11</t>
    </r>
    <r>
      <rPr>
        <i val="true"/>
        <sz val="11"/>
        <color rgb="FF595959"/>
        <rFont val="Linux Libertine G"/>
        <family val="2"/>
      </rPr>
      <t xml:space="preserve">、</t>
    </r>
    <r>
      <rPr>
        <i val="true"/>
        <sz val="11"/>
        <color rgb="FF595959"/>
        <rFont val="Linux Libertine G"/>
        <family val="2"/>
        <charset val="1"/>
      </rPr>
      <t xml:space="preserve">13 </t>
    </r>
    <r>
      <rPr>
        <i val="true"/>
        <sz val="11"/>
        <color rgb="FF595959"/>
        <rFont val="Linux Libertine G"/>
        <family val="2"/>
      </rPr>
      <t xml:space="preserve">步是试错之后加进来的规则。</t>
    </r>
  </si>
  <si>
    <t xml:space="preserve">步骤</t>
  </si>
  <si>
    <t xml:space="preserve">做什么</t>
  </si>
  <si>
    <r>
      <rPr>
        <b val="true"/>
        <sz val="11"/>
        <color rgb="FFFFFFFF"/>
        <rFont val="Linux Libertine G"/>
        <family val="2"/>
      </rPr>
      <t xml:space="preserve">在系统 </t>
    </r>
    <r>
      <rPr>
        <b val="true"/>
        <sz val="11"/>
        <color rgb="FFFFFFFF"/>
        <rFont val="Linux Libertine G"/>
        <family val="2"/>
        <charset val="1"/>
      </rPr>
      <t xml:space="preserve">/ </t>
    </r>
    <r>
      <rPr>
        <b val="true"/>
        <sz val="11"/>
        <color rgb="FFFFFFFF"/>
        <rFont val="Linux Libertine G"/>
        <family val="2"/>
      </rPr>
      <t xml:space="preserve">工具的哪里</t>
    </r>
  </si>
  <si>
    <t xml:space="preserve">我们的规则和注意事项</t>
  </si>
  <si>
    <t xml:space="preserve">确认没有别的程序在改决策</t>
  </si>
  <si>
    <t xml:space="preserve">Decision Log</t>
  </si>
  <si>
    <r>
      <rPr>
        <sz val="11"/>
        <rFont val="Arial"/>
        <family val="0"/>
        <charset val="1"/>
      </rPr>
      <t xml:space="preserve">Codex </t>
    </r>
    <r>
      <rPr>
        <sz val="11"/>
        <rFont val="Linux Libertine G"/>
        <family val="2"/>
      </rPr>
      <t xml:space="preserve">自动任务已经停了；开始前和截止前都看一眼 </t>
    </r>
    <r>
      <rPr>
        <sz val="11"/>
        <rFont val="Arial"/>
        <family val="0"/>
        <charset val="1"/>
      </rPr>
      <t xml:space="preserve">Decision Log</t>
    </r>
  </si>
  <si>
    <t xml:space="preserve">看上一年的结果</t>
  </si>
  <si>
    <r>
      <rPr>
        <sz val="11"/>
        <rFont val="Arial"/>
        <family val="0"/>
        <charset val="1"/>
      </rPr>
      <t xml:space="preserve">Company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Dashboard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Products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Manufacturing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Income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Cash Flow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Competition</t>
    </r>
    <r>
      <rPr>
        <sz val="11"/>
        <rFont val="Linux Libertine G"/>
        <family val="2"/>
      </rPr>
      <t xml:space="preserve">：</t>
    </r>
    <r>
      <rPr>
        <sz val="11"/>
        <rFont val="Arial"/>
        <family val="0"/>
        <charset val="1"/>
      </rPr>
      <t xml:space="preserve">Financials</t>
    </r>
  </si>
  <si>
    <r>
      <rPr>
        <sz val="11"/>
        <rFont val="Linux Libertine G"/>
        <family val="2"/>
      </rPr>
      <t xml:space="preserve">重点看 </t>
    </r>
    <r>
      <rPr>
        <sz val="11"/>
        <rFont val="Linux Libertine G"/>
        <family val="2"/>
        <charset val="1"/>
      </rPr>
      <t xml:space="preserve">shortage </t>
    </r>
    <r>
      <rPr>
        <sz val="11"/>
        <rFont val="Linux Libertine G"/>
        <family val="2"/>
      </rPr>
      <t xml:space="preserve">提示、库存天数、现金、有没有被系统自动借贷</t>
    </r>
  </si>
  <si>
    <t xml:space="preserve">买必买的报告</t>
  </si>
  <si>
    <r>
      <rPr>
        <sz val="11"/>
        <rFont val="Arial"/>
        <family val="0"/>
        <charset val="1"/>
      </rPr>
      <t xml:space="preserve">Market → Microsegments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Tools → Focus Groups</t>
    </r>
  </si>
  <si>
    <r>
      <rPr>
        <sz val="11"/>
        <rFont val="Linux Libertine G"/>
        <family val="2"/>
      </rPr>
      <t xml:space="preserve">只买自己的细分市场（今年是 </t>
    </r>
    <r>
      <rPr>
        <sz val="11"/>
        <rFont val="Linux Libertine G"/>
        <family val="2"/>
        <charset val="1"/>
      </rPr>
      <t xml:space="preserve">1E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2F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3T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5U</t>
    </r>
    <r>
      <rPr>
        <sz val="11"/>
        <rFont val="Linux Libertine G"/>
        <family val="2"/>
      </rPr>
      <t xml:space="preserve">）</t>
    </r>
  </si>
  <si>
    <t xml:space="preserve">安排研发</t>
  </si>
  <si>
    <t xml:space="preserve">Decisions → Product Development</t>
  </si>
  <si>
    <r>
      <rPr>
        <sz val="11"/>
        <rFont val="Linux Libertine G"/>
        <family val="2"/>
      </rPr>
      <t xml:space="preserve">每个中心都要放项目；先对准尺寸，尺寸差得多就做 </t>
    </r>
    <r>
      <rPr>
        <sz val="11"/>
        <rFont val="Linux Libertine G"/>
        <family val="2"/>
        <charset val="1"/>
      </rPr>
      <t xml:space="preserve">major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minor </t>
    </r>
    <r>
      <rPr>
        <sz val="11"/>
        <rFont val="Linux Libertine G"/>
        <family val="2"/>
      </rPr>
      <t xml:space="preserve">会处理掉旧库存；每年只能新建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个中心</t>
    </r>
  </si>
  <si>
    <t xml:space="preserve">测新车或新版</t>
  </si>
  <si>
    <t xml:space="preserve">Tools → Concept Test</t>
  </si>
  <si>
    <t xml:space="preserve">用来筛选配置和价格区间；不算钱，不能单独用来定价</t>
  </si>
  <si>
    <t xml:space="preserve">测已经在卖的车</t>
  </si>
  <si>
    <t xml:space="preserve">Tools → Test Market</t>
  </si>
  <si>
    <r>
      <rPr>
        <sz val="11"/>
        <rFont val="Linux Libertine G"/>
        <family val="2"/>
      </rPr>
      <t xml:space="preserve">定价格和营销预算；看“贡献变化”；促销最多填 </t>
    </r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倍；价格只能在去年的 </t>
    </r>
    <r>
      <rPr>
        <sz val="11"/>
        <rFont val="Linux Libertine G"/>
        <family val="2"/>
        <charset val="1"/>
      </rPr>
      <t xml:space="preserve">±10% </t>
    </r>
    <r>
      <rPr>
        <sz val="11"/>
        <rFont val="Linux Libertine G"/>
        <family val="2"/>
      </rPr>
      <t xml:space="preserve">内测</t>
    </r>
  </si>
  <si>
    <t xml:space="preserve">排产</t>
  </si>
  <si>
    <t xml:space="preserve">Decisions → Manufacturing</t>
  </si>
  <si>
    <r>
      <rPr>
        <sz val="11"/>
        <rFont val="Linux Libertine G"/>
        <family val="2"/>
      </rPr>
      <t xml:space="preserve">产量 </t>
    </r>
    <r>
      <rPr>
        <sz val="11"/>
        <rFont val="Linux Libertine G"/>
        <family val="2"/>
        <charset val="1"/>
      </rPr>
      <t xml:space="preserve">= Test Market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× </t>
    </r>
    <r>
      <rPr>
        <sz val="11"/>
        <rFont val="Linux Libertine G"/>
        <family val="2"/>
      </rPr>
      <t xml:space="preserve">全行业实际销量；不超过产能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；要升级的车，前一年少排产；增产要付 </t>
    </r>
    <r>
      <rPr>
        <sz val="11"/>
        <rFont val="Linux Libertine G"/>
        <family val="2"/>
        <charset val="1"/>
      </rPr>
      <t xml:space="preserve">retooling </t>
    </r>
    <r>
      <rPr>
        <sz val="11"/>
        <rFont val="Linux Libertine G"/>
        <family val="2"/>
      </rPr>
      <t xml:space="preserve">费</t>
    </r>
  </si>
  <si>
    <t xml:space="preserve">Decisions → Marketing / Distribution</t>
  </si>
  <si>
    <r>
      <rPr>
        <sz val="11"/>
        <rFont val="Linux Libertine G"/>
        <family val="2"/>
      </rPr>
      <t xml:space="preserve">营销至少占营收 </t>
    </r>
    <r>
      <rPr>
        <sz val="11"/>
        <rFont val="Linux Libertine G"/>
        <family val="2"/>
        <charset val="1"/>
      </rPr>
      <t xml:space="preserve">2%</t>
    </r>
    <r>
      <rPr>
        <sz val="11"/>
        <rFont val="Linux Libertine G"/>
        <family val="2"/>
      </rPr>
      <t xml:space="preserve">；新车上市那年多投；对价格敏感的细分市场多给促销</t>
    </r>
  </si>
  <si>
    <t xml:space="preserve">Decisions → Financing</t>
  </si>
  <si>
    <r>
      <rPr>
        <sz val="11"/>
        <rFont val="Linux Libertine G"/>
        <family val="2"/>
      </rPr>
      <t xml:space="preserve">按保守情景算现金缺口；不够就增发（上限是市值的 </t>
    </r>
    <r>
      <rPr>
        <sz val="11"/>
        <rFont val="Linux Libertine G"/>
        <family val="2"/>
        <charset val="1"/>
      </rPr>
      <t xml:space="preserve">20%</t>
    </r>
    <r>
      <rPr>
        <sz val="11"/>
        <rFont val="Linux Libertine G"/>
        <family val="2"/>
      </rPr>
      <t xml:space="preserve">）；有债可赎回就赎回；现金宽裕才买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</si>
  <si>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Arial"/>
        <family val="0"/>
        <charset val="1"/>
      </rPr>
      <t xml:space="preserve">Pro-Forma + </t>
    </r>
    <r>
      <rPr>
        <sz val="11"/>
        <rFont val="Linux Libertine G"/>
        <family val="2"/>
      </rPr>
      <t xml:space="preserve">三情景检查</t>
    </r>
  </si>
  <si>
    <r>
      <rPr>
        <sz val="11"/>
        <rFont val="Arial"/>
        <family val="0"/>
        <charset val="1"/>
      </rPr>
      <t xml:space="preserve">Decisions → Pro-Forma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startup-financial-modeling skill</t>
    </r>
  </si>
  <si>
    <r>
      <rPr>
        <sz val="11"/>
        <rFont val="Arial"/>
        <family val="0"/>
        <charset val="1"/>
      </rPr>
      <t xml:space="preserve">Pro-Forma </t>
    </r>
    <r>
      <rPr>
        <sz val="11"/>
        <rFont val="Linux Libertine G"/>
        <family val="2"/>
      </rPr>
      <t xml:space="preserve">是按全部卖光算的；要看销量 </t>
    </r>
    <r>
      <rPr>
        <sz val="11"/>
        <rFont val="Arial"/>
        <family val="0"/>
        <charset val="1"/>
      </rPr>
      <t xml:space="preserve">90% </t>
    </r>
    <r>
      <rPr>
        <sz val="11"/>
        <rFont val="Linux Libertine G"/>
        <family val="2"/>
      </rPr>
      <t xml:space="preserve">和 </t>
    </r>
    <r>
      <rPr>
        <sz val="11"/>
        <rFont val="Arial"/>
        <family val="0"/>
        <charset val="1"/>
      </rPr>
      <t xml:space="preserve">80% </t>
    </r>
    <r>
      <rPr>
        <sz val="11"/>
        <rFont val="Linux Libertine G"/>
        <family val="2"/>
      </rPr>
      <t xml:space="preserve">时现金够不够</t>
    </r>
  </si>
  <si>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skill </t>
    </r>
    <r>
      <rPr>
        <sz val="11"/>
        <rFont val="Linux Libertine G"/>
        <family val="2"/>
      </rPr>
      <t xml:space="preserve">复查定价</t>
    </r>
  </si>
  <si>
    <t xml:space="preserve">pricing skill</t>
  </si>
  <si>
    <t xml:space="preserve">价格要在“次优替代品”和“客户感知价值”之间，成本只是底线</t>
  </si>
  <si>
    <t xml:space="preserve">核对</t>
  </si>
  <si>
    <t xml:space="preserve">Decision Summary + Decision Alerts</t>
  </si>
  <si>
    <r>
      <rPr>
        <sz val="11"/>
        <rFont val="Linux Libertine G"/>
        <family val="2"/>
      </rPr>
      <t xml:space="preserve">逐项对一遍；</t>
    </r>
    <r>
      <rPr>
        <sz val="11"/>
        <rFont val="Linux Libertine G"/>
        <family val="2"/>
        <charset val="1"/>
      </rPr>
      <t xml:space="preserve">Alerts </t>
    </r>
    <r>
      <rPr>
        <sz val="11"/>
        <rFont val="Linux Libertine G"/>
        <family val="2"/>
      </rPr>
      <t xml:space="preserve">要显示没有警告</t>
    </r>
  </si>
  <si>
    <r>
      <rPr>
        <sz val="11"/>
        <rFont val="Linux Libertine G"/>
        <family val="2"/>
      </rPr>
      <t xml:space="preserve">写 </t>
    </r>
    <r>
      <rPr>
        <sz val="11"/>
        <rFont val="Linux Libertine G"/>
        <family val="2"/>
        <charset val="1"/>
      </rPr>
      <t xml:space="preserve">Rationale</t>
    </r>
  </si>
  <si>
    <r>
      <rPr>
        <sz val="11"/>
        <rFont val="Arial"/>
        <family val="0"/>
        <charset val="1"/>
      </rPr>
      <t xml:space="preserve">Decisions → Decision Rationale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humanizer skill</t>
    </r>
  </si>
  <si>
    <r>
      <rPr>
        <sz val="11"/>
        <rFont val="Linux Libertine G"/>
        <family val="2"/>
      </rPr>
      <t xml:space="preserve">用英文写 → 用 </t>
    </r>
    <r>
      <rPr>
        <sz val="11"/>
        <rFont val="Linux Libertine G"/>
        <family val="2"/>
        <charset val="1"/>
      </rPr>
      <t xml:space="preserve">humanizer </t>
    </r>
    <r>
      <rPr>
        <sz val="11"/>
        <rFont val="Linux Libertine G"/>
        <family val="2"/>
      </rPr>
      <t xml:space="preserve">润色 → 保存；改了决策就要重写</t>
    </r>
  </si>
  <si>
    <t xml:space="preserve">更新记录</t>
  </si>
  <si>
    <r>
      <rPr>
        <sz val="11"/>
        <rFont val="Arial"/>
        <family val="0"/>
        <charset val="1"/>
      </rPr>
      <t xml:space="preserve">StratSim_</t>
    </r>
    <r>
      <rPr>
        <sz val="11"/>
        <rFont val="Linux Libertine G"/>
        <family val="2"/>
      </rPr>
      <t xml:space="preserve">试错上下文</t>
    </r>
    <r>
      <rPr>
        <sz val="11"/>
        <rFont val="Arial"/>
        <family val="0"/>
        <charset val="1"/>
      </rPr>
      <t xml:space="preserve">.md + </t>
    </r>
    <r>
      <rPr>
        <sz val="11"/>
        <rFont val="Linux Libertine G"/>
        <family val="2"/>
      </rPr>
      <t xml:space="preserve">这份 </t>
    </r>
    <r>
      <rPr>
        <sz val="11"/>
        <rFont val="Arial"/>
        <family val="0"/>
        <charset val="1"/>
      </rPr>
      <t xml:space="preserve">Excel</t>
    </r>
  </si>
  <si>
    <r>
      <rPr>
        <sz val="11"/>
        <rFont val="Linux Libertine G"/>
        <family val="2"/>
      </rPr>
      <t xml:space="preserve">把决策、测试数据、结论（✅ </t>
    </r>
    <r>
      <rPr>
        <sz val="11"/>
        <rFont val="Linux Libertine G"/>
        <family val="2"/>
        <charset val="1"/>
      </rPr>
      <t xml:space="preserve">/ ❌ / ⏳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skill </t>
    </r>
    <r>
      <rPr>
        <sz val="11"/>
        <rFont val="Linux Libertine G"/>
        <family val="2"/>
      </rPr>
      <t xml:space="preserve">复查的过程、和练习轮不一样的变数（“正式比赛变数记录”页）都写进去</t>
    </r>
  </si>
  <si>
    <t xml:space="preserve">截止前最后确认</t>
  </si>
  <si>
    <t xml:space="preserve">Decision Log + Decision Summary</t>
  </si>
  <si>
    <t xml:space="preserve">确认没有被覆盖；期数视图切回当前年份</t>
  </si>
  <si>
    <r>
      <rPr>
        <b val="true"/>
        <sz val="14"/>
        <rFont val="Linux Libertine G"/>
        <family val="2"/>
      </rPr>
      <t xml:space="preserve">用过的 </t>
    </r>
    <r>
      <rPr>
        <b val="true"/>
        <sz val="14"/>
        <rFont val="Linux Libertine G"/>
        <family val="2"/>
        <charset val="1"/>
      </rPr>
      <t xml:space="preserve">Skill </t>
    </r>
    <r>
      <rPr>
        <b val="true"/>
        <sz val="14"/>
        <rFont val="Linux Libertine G"/>
        <family val="2"/>
      </rPr>
      <t xml:space="preserve">和系统里的测试工具：用来干什么、发现了什么、靠不靠谱</t>
    </r>
  </si>
  <si>
    <r>
      <rPr>
        <i val="true"/>
        <sz val="11"/>
        <color rgb="FF595959"/>
        <rFont val="Arial"/>
        <family val="0"/>
        <charset val="1"/>
      </rPr>
      <t xml:space="preserve">Skill </t>
    </r>
    <r>
      <rPr>
        <i val="true"/>
        <sz val="11"/>
        <color rgb="FF595959"/>
        <rFont val="Linux Libertine G"/>
        <family val="2"/>
      </rPr>
      <t xml:space="preserve">是 </t>
    </r>
    <r>
      <rPr>
        <i val="true"/>
        <sz val="11"/>
        <color rgb="FF595959"/>
        <rFont val="Arial"/>
        <family val="0"/>
        <charset val="1"/>
      </rPr>
      <t xml:space="preserve">Claude </t>
    </r>
    <r>
      <rPr>
        <i val="true"/>
        <sz val="11"/>
        <color rgb="FF595959"/>
        <rFont val="Linux Libertine G"/>
        <family val="2"/>
      </rPr>
      <t xml:space="preserve">这边的工具；测试工具是 </t>
    </r>
    <r>
      <rPr>
        <i val="true"/>
        <sz val="11"/>
        <color rgb="FF595959"/>
        <rFont val="Arial"/>
        <family val="0"/>
        <charset val="1"/>
      </rPr>
      <t xml:space="preserve">StratSim </t>
    </r>
    <r>
      <rPr>
        <i val="true"/>
        <sz val="11"/>
        <color rgb="FF595959"/>
        <rFont val="Linux Libertine G"/>
        <family val="2"/>
      </rPr>
      <t xml:space="preserve">系统里要花钱买的调研。</t>
    </r>
  </si>
  <si>
    <t xml:space="preserve">名称</t>
  </si>
  <si>
    <t xml:space="preserve">什么时候用</t>
  </si>
  <si>
    <t xml:space="preserve">用来干什么</t>
  </si>
  <si>
    <t xml:space="preserve">实际发现了什么</t>
  </si>
  <si>
    <t xml:space="preserve">评价</t>
  </si>
  <si>
    <r>
      <rPr>
        <b val="true"/>
        <sz val="11"/>
        <rFont val="Arial"/>
        <family val="0"/>
        <charset val="1"/>
      </rPr>
      <t xml:space="preserve">pricing</t>
    </r>
    <r>
      <rPr>
        <b val="true"/>
        <sz val="11"/>
        <rFont val="Linux Libertine G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skill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</si>
  <si>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定价后复查；正式 </t>
    </r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复查定价</t>
    </r>
  </si>
  <si>
    <t xml:space="preserve">价值定价：价格定在次优替代品和客户感知价值之间</t>
  </si>
  <si>
    <r>
      <rPr>
        <sz val="11"/>
        <rFont val="Linux Libertine G"/>
        <family val="2"/>
      </rPr>
      <t xml:space="preserve">发现 </t>
    </r>
    <r>
      <rPr>
        <sz val="11"/>
        <rFont val="Linux Libertine G"/>
        <family val="2"/>
        <charset val="1"/>
      </rPr>
      <t xml:space="preserve">Canyon $24,900 </t>
    </r>
    <r>
      <rPr>
        <sz val="11"/>
        <rFont val="Linux Libertine G"/>
        <family val="2"/>
      </rPr>
      <t xml:space="preserve">扣掉折扣后低于成本 → 改价后测试，定 </t>
    </r>
    <r>
      <rPr>
        <sz val="11"/>
        <rFont val="Linux Libertine G"/>
        <family val="2"/>
        <charset val="1"/>
      </rPr>
      <t xml:space="preserve">$31K </t>
    </r>
    <r>
      <rPr>
        <sz val="11"/>
        <rFont val="Linux Libertine G"/>
        <family val="2"/>
      </rPr>
      <t xml:space="preserve">仍缺货；正式 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：确认 </t>
    </r>
    <r>
      <rPr>
        <sz val="11"/>
        <rFont val="Linux Libertine G"/>
        <family val="2"/>
        <charset val="1"/>
      </rPr>
      <t xml:space="preserve">Cafav $22,385 + </t>
    </r>
    <r>
      <rPr>
        <sz val="11"/>
        <rFont val="Linux Libertine G"/>
        <family val="2"/>
      </rPr>
      <t xml:space="preserve">广告加倍是产能受限时贡献最高的组合</t>
    </r>
  </si>
  <si>
    <t xml:space="preserve">✅ 有用，每年复查一次</t>
  </si>
  <si>
    <r>
      <rPr>
        <b val="true"/>
        <sz val="11"/>
        <rFont val="Arial"/>
        <family val="0"/>
        <charset val="1"/>
      </rPr>
      <t xml:space="preserve">startup-financial-modeling</t>
    </r>
    <r>
      <rPr>
        <b val="true"/>
        <sz val="11"/>
        <rFont val="Linux Libertine G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skill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</si>
  <si>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复查现金和融资；正式 </t>
    </r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三情景</t>
    </r>
  </si>
  <si>
    <r>
      <rPr>
        <sz val="11"/>
        <rFont val="Linux Libertine G"/>
        <family val="2"/>
      </rPr>
      <t xml:space="preserve">三情景（保守 </t>
    </r>
    <r>
      <rPr>
        <sz val="11"/>
        <rFont val="Linux Libertine G"/>
        <family val="2"/>
        <charset val="1"/>
      </rPr>
      <t xml:space="preserve">/ </t>
    </r>
    <r>
      <rPr>
        <sz val="11"/>
        <rFont val="Linux Libertine G"/>
        <family val="2"/>
      </rPr>
      <t xml:space="preserve">基准 </t>
    </r>
    <r>
      <rPr>
        <sz val="11"/>
        <rFont val="Linux Libertine G"/>
        <family val="2"/>
        <charset val="1"/>
      </rPr>
      <t xml:space="preserve">/ </t>
    </r>
    <r>
      <rPr>
        <sz val="11"/>
        <rFont val="Linux Libertine G"/>
        <family val="2"/>
      </rPr>
      <t xml:space="preserve">乐观）、稀释、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的乐观偏差</t>
    </r>
  </si>
  <si>
    <r>
      <rPr>
        <sz val="11"/>
        <rFont val="Linux Libertine G"/>
        <family val="2"/>
      </rPr>
      <t xml:space="preserve">销量只有计划的 </t>
    </r>
    <r>
      <rPr>
        <sz val="11"/>
        <rFont val="Linux Libertine G"/>
        <family val="2"/>
        <charset val="1"/>
      </rPr>
      <t xml:space="preserve">80% </t>
    </r>
    <r>
      <rPr>
        <sz val="11"/>
        <rFont val="Linux Libertine G"/>
        <family val="2"/>
      </rPr>
      <t xml:space="preserve">时会触发借贷；增发稀释约 </t>
    </r>
    <r>
      <rPr>
        <sz val="11"/>
        <rFont val="Linux Libertine G"/>
        <family val="2"/>
        <charset val="1"/>
      </rPr>
      <t xml:space="preserve">20%</t>
    </r>
    <r>
      <rPr>
        <sz val="11"/>
        <rFont val="Linux Libertine G"/>
        <family val="2"/>
      </rPr>
      <t xml:space="preserve">，利息却要明年才省下来；正式 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：卖出 </t>
    </r>
    <r>
      <rPr>
        <sz val="11"/>
        <rFont val="Linux Libertine G"/>
        <family val="2"/>
        <charset val="1"/>
      </rPr>
      <t xml:space="preserve">90% </t>
    </r>
    <r>
      <rPr>
        <sz val="11"/>
        <rFont val="Linux Libertine G"/>
        <family val="2"/>
      </rPr>
      <t xml:space="preserve">现金约 </t>
    </r>
    <r>
      <rPr>
        <sz val="11"/>
        <rFont val="Linux Libertine G"/>
        <family val="2"/>
        <charset val="1"/>
      </rPr>
      <t xml:space="preserve">$1.0B</t>
    </r>
    <r>
      <rPr>
        <sz val="11"/>
        <rFont val="Linux Libertine G"/>
        <family val="2"/>
      </rPr>
      <t xml:space="preserve">，卖出 </t>
    </r>
    <r>
      <rPr>
        <sz val="11"/>
        <rFont val="Linux Libertine G"/>
        <family val="2"/>
        <charset val="1"/>
      </rPr>
      <t xml:space="preserve">80% </t>
    </r>
    <r>
      <rPr>
        <sz val="11"/>
        <rFont val="Linux Libertine G"/>
        <family val="2"/>
      </rPr>
      <t xml:space="preserve">会被借约 </t>
    </r>
    <r>
      <rPr>
        <sz val="11"/>
        <rFont val="Linux Libertine G"/>
        <family val="2"/>
        <charset val="1"/>
      </rPr>
      <t xml:space="preserve">$0.9B</t>
    </r>
    <r>
      <rPr>
        <sz val="11"/>
        <rFont val="Linux Libertine G"/>
        <family val="2"/>
      </rPr>
      <t xml:space="preserve">（也是 </t>
    </r>
    <r>
      <rPr>
        <sz val="11"/>
        <rFont val="Linux Libertine G"/>
        <family val="2"/>
        <charset val="1"/>
      </rPr>
      <t xml:space="preserve">7.5%</t>
    </r>
    <r>
      <rPr>
        <sz val="11"/>
        <rFont val="Linux Libertine G"/>
        <family val="2"/>
      </rPr>
      <t xml:space="preserve">）</t>
    </r>
  </si>
  <si>
    <t xml:space="preserve">✅ 有用，每年做一次三情景</t>
  </si>
  <si>
    <r>
      <rPr>
        <b val="true"/>
        <sz val="11"/>
        <rFont val="Arial"/>
        <family val="0"/>
        <charset val="1"/>
      </rPr>
      <t xml:space="preserve">humanizer</t>
    </r>
    <r>
      <rPr>
        <b val="true"/>
        <sz val="11"/>
        <rFont val="Linux Libertine G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skill</t>
    </r>
    <r>
      <rPr>
        <b val="true"/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</si>
  <si>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每次写 </t>
    </r>
    <r>
      <rPr>
        <sz val="11"/>
        <rFont val="Linux Libertine G"/>
        <family val="2"/>
        <charset val="1"/>
      </rPr>
      <t xml:space="preserve">Rationale</t>
    </r>
  </si>
  <si>
    <r>
      <rPr>
        <sz val="11"/>
        <rFont val="Linux Libertine G"/>
        <family val="2"/>
      </rPr>
      <t xml:space="preserve">去掉 </t>
    </r>
    <r>
      <rPr>
        <sz val="11"/>
        <rFont val="Linux Libertine G"/>
        <family val="2"/>
        <charset val="1"/>
      </rPr>
      <t xml:space="preserve">AI </t>
    </r>
    <r>
      <rPr>
        <sz val="11"/>
        <rFont val="Linux Libertine G"/>
        <family val="2"/>
      </rPr>
      <t xml:space="preserve">写作痕迹，不加数据里没有的事实</t>
    </r>
  </si>
  <si>
    <r>
      <rPr>
        <sz val="11"/>
        <rFont val="Arial"/>
        <family val="0"/>
        <charset val="1"/>
      </rPr>
      <t xml:space="preserve">Y3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Y4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Rationale </t>
    </r>
    <r>
      <rPr>
        <sz val="11"/>
        <rFont val="Linux Libertine G"/>
        <family val="2"/>
      </rPr>
      <t xml:space="preserve">都润色后保存了；正式 </t>
    </r>
    <r>
      <rPr>
        <sz val="11"/>
        <rFont val="Arial"/>
        <family val="0"/>
        <charset val="1"/>
      </rPr>
      <t xml:space="preserve">Y1 </t>
    </r>
    <r>
      <rPr>
        <sz val="11"/>
        <rFont val="Linux Libertine G"/>
        <family val="2"/>
      </rPr>
      <t xml:space="preserve">也润色后保存了</t>
    </r>
  </si>
  <si>
    <t xml:space="preserve">✅ 规则：必用</t>
  </si>
  <si>
    <r>
      <rPr>
        <b val="true"/>
        <sz val="11"/>
        <rFont val="Arial"/>
        <family val="0"/>
        <charset val="1"/>
      </rPr>
      <t xml:space="preserve">xlsx</t>
    </r>
    <r>
      <rPr>
        <b val="true"/>
        <sz val="11"/>
        <rFont val="Linux Libertine G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skill</t>
    </r>
    <r>
      <rPr>
        <b val="true"/>
        <sz val="11"/>
        <rFont val="Linux Libertine G"/>
        <family val="2"/>
      </rPr>
      <t xml:space="preserve">）</t>
    </r>
  </si>
  <si>
    <t xml:space="preserve">做这份对照表</t>
  </si>
  <si>
    <t xml:space="preserve">带公式的表格，重新计算后检查有没有错误</t>
  </si>
  <si>
    <r>
      <rPr>
        <sz val="11"/>
        <rFont val="Linux Libertine G"/>
        <family val="2"/>
      </rPr>
      <t xml:space="preserve">公式全部算过，</t>
    </r>
    <r>
      <rPr>
        <sz val="11"/>
        <rFont val="Linux Libertine G"/>
        <family val="2"/>
        <charset val="1"/>
      </rPr>
      <t xml:space="preserve">0 </t>
    </r>
    <r>
      <rPr>
        <sz val="11"/>
        <rFont val="Linux Libertine G"/>
        <family val="2"/>
      </rPr>
      <t xml:space="preserve">错误</t>
    </r>
  </si>
  <si>
    <r>
      <rPr>
        <b val="true"/>
        <sz val="11"/>
        <rFont val="Arial"/>
        <family val="0"/>
        <charset val="1"/>
      </rPr>
      <t xml:space="preserve">Test Market</t>
    </r>
    <r>
      <rPr>
        <b val="true"/>
        <sz val="11"/>
        <rFont val="Linux Libertine G"/>
        <family val="2"/>
      </rPr>
      <t xml:space="preserve">（系统）</t>
    </r>
  </si>
  <si>
    <t xml:space="preserve">已经在卖的车</t>
  </si>
  <si>
    <r>
      <rPr>
        <sz val="11"/>
        <rFont val="Linux Libertine G"/>
        <family val="2"/>
      </rPr>
      <t xml:space="preserve">份额和贡献变化（只能在去年价格的 </t>
    </r>
    <r>
      <rPr>
        <sz val="11"/>
        <rFont val="Linux Libertine G"/>
        <family val="2"/>
        <charset val="1"/>
      </rPr>
      <t xml:space="preserve">±10% </t>
    </r>
    <r>
      <rPr>
        <sz val="11"/>
        <rFont val="Linux Libertine G"/>
        <family val="2"/>
      </rPr>
      <t xml:space="preserve">内测）</t>
    </r>
  </si>
  <si>
    <r>
      <rPr>
        <sz val="11"/>
        <rFont val="Linux Libertine G"/>
        <family val="2"/>
      </rPr>
      <t xml:space="preserve">份额误差 ≤ </t>
    </r>
    <r>
      <rPr>
        <sz val="11"/>
        <rFont val="Linux Libertine G"/>
        <family val="2"/>
        <charset val="1"/>
      </rPr>
      <t xml:space="preserve">0.4 </t>
    </r>
    <r>
      <rPr>
        <sz val="11"/>
        <rFont val="Linux Libertine G"/>
        <family val="2"/>
      </rPr>
      <t xml:space="preserve">个百分点；推翻了 </t>
    </r>
    <r>
      <rPr>
        <sz val="11"/>
        <rFont val="Linux Libertine G"/>
        <family val="2"/>
        <charset val="1"/>
      </rPr>
      <t xml:space="preserve">Y4 Crash </t>
    </r>
    <r>
      <rPr>
        <sz val="11"/>
        <rFont val="Linux Libertine G"/>
        <family val="2"/>
      </rPr>
      <t xml:space="preserve">降价；正式 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：广告加倍时份额 </t>
    </r>
    <r>
      <rPr>
        <sz val="11"/>
        <rFont val="Linux Libertine G"/>
        <family val="2"/>
        <charset val="1"/>
      </rPr>
      <t xml:space="preserve">+0.5–0.8 </t>
    </r>
    <r>
      <rPr>
        <sz val="11"/>
        <rFont val="Linux Libertine G"/>
        <family val="2"/>
      </rPr>
      <t xml:space="preserve">个百分点（待结果验证）</t>
    </r>
  </si>
  <si>
    <t xml:space="preserve">✅ 最可靠，定价以它为准</t>
  </si>
  <si>
    <r>
      <rPr>
        <b val="true"/>
        <sz val="11"/>
        <rFont val="Arial"/>
        <family val="0"/>
        <charset val="1"/>
      </rPr>
      <t xml:space="preserve">Concept Test</t>
    </r>
    <r>
      <rPr>
        <b val="true"/>
        <sz val="11"/>
        <rFont val="Linux Libertine G"/>
        <family val="2"/>
      </rPr>
      <t xml:space="preserve">（系统）</t>
    </r>
  </si>
  <si>
    <t xml:space="preserve">新车、新版本</t>
  </si>
  <si>
    <r>
      <rPr>
        <sz val="11"/>
        <rFont val="Arial"/>
        <family val="0"/>
        <charset val="1"/>
      </rPr>
      <t xml:space="preserve">Likely to buy + </t>
    </r>
    <r>
      <rPr>
        <sz val="11"/>
        <rFont val="Linux Libertine G"/>
        <family val="2"/>
      </rPr>
      <t xml:space="preserve">每项属性的评价</t>
    </r>
  </si>
  <si>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对价格不敏感；</t>
    </r>
    <r>
      <rPr>
        <sz val="11"/>
        <rFont val="Arial"/>
        <family val="0"/>
        <charset val="1"/>
      </rPr>
      <t xml:space="preserve">Cafav </t>
    </r>
    <r>
      <rPr>
        <sz val="11"/>
        <rFont val="Linux Libertine G"/>
        <family val="2"/>
      </rPr>
      <t xml:space="preserve">改大后 </t>
    </r>
    <r>
      <rPr>
        <sz val="11"/>
        <rFont val="Arial"/>
        <family val="0"/>
        <charset val="1"/>
      </rPr>
      <t xml:space="preserve">2E </t>
    </r>
    <r>
      <rPr>
        <sz val="11"/>
        <rFont val="Linux Libertine G"/>
        <family val="2"/>
      </rPr>
      <t xml:space="preserve">只有 </t>
    </r>
    <r>
      <rPr>
        <sz val="11"/>
        <rFont val="Arial"/>
        <family val="0"/>
        <charset val="1"/>
      </rPr>
      <t xml:space="preserve">0.3%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Crash 210 HP </t>
    </r>
    <r>
      <rPr>
        <sz val="11"/>
        <rFont val="Linux Libertine G"/>
        <family val="2"/>
      </rPr>
      <t xml:space="preserve">被评为 </t>
    </r>
    <r>
      <rPr>
        <sz val="11"/>
        <rFont val="Arial"/>
        <family val="0"/>
        <charset val="1"/>
      </rPr>
      <t xml:space="preserve">poor MPG</t>
    </r>
    <r>
      <rPr>
        <sz val="11"/>
        <rFont val="Linux Libertine G"/>
        <family val="2"/>
      </rPr>
      <t xml:space="preserve">；正式 </t>
    </r>
    <r>
      <rPr>
        <sz val="11"/>
        <rFont val="Arial"/>
        <family val="0"/>
        <charset val="1"/>
      </rPr>
      <t xml:space="preserve">Y1</t>
    </r>
    <r>
      <rPr>
        <sz val="11"/>
        <rFont val="Linux Libertine G"/>
        <family val="2"/>
      </rPr>
      <t xml:space="preserve">：用来选 </t>
    </r>
    <r>
      <rPr>
        <sz val="11"/>
        <rFont val="Arial"/>
        <family val="0"/>
        <charset val="1"/>
      </rPr>
      <t xml:space="preserve">Canyon </t>
    </r>
    <r>
      <rPr>
        <sz val="11"/>
        <rFont val="Linux Libertine G"/>
        <family val="2"/>
      </rPr>
      <t xml:space="preserve">的 </t>
    </r>
    <r>
      <rPr>
        <sz val="11"/>
        <rFont val="Arial"/>
        <family val="0"/>
        <charset val="1"/>
      </rPr>
      <t xml:space="preserve">HP</t>
    </r>
    <r>
      <rPr>
        <sz val="11"/>
        <rFont val="Linux Libertine G"/>
        <family val="2"/>
      </rPr>
      <t xml:space="preserve">（</t>
    </r>
    <r>
      <rPr>
        <sz val="11"/>
        <rFont val="Arial"/>
        <family val="0"/>
        <charset val="1"/>
      </rPr>
      <t xml:space="preserve">245</t>
    </r>
    <r>
      <rPr>
        <sz val="11"/>
        <rFont val="Linux Libertine G"/>
        <family val="2"/>
      </rPr>
      <t xml:space="preserve">），并测出 </t>
    </r>
    <r>
      <rPr>
        <sz val="11"/>
        <rFont val="Arial"/>
        <family val="0"/>
        <charset val="1"/>
      </rPr>
      <t xml:space="preserve">Cafav </t>
    </r>
    <r>
      <rPr>
        <sz val="11"/>
        <rFont val="Linux Libertine G"/>
        <family val="2"/>
      </rPr>
      <t xml:space="preserve">新版 </t>
    </r>
    <r>
      <rPr>
        <sz val="11"/>
        <rFont val="Arial"/>
        <family val="0"/>
        <charset val="1"/>
      </rPr>
      <t xml:space="preserve">$21K </t>
    </r>
    <r>
      <rPr>
        <sz val="11"/>
        <rFont val="Linux Libertine G"/>
        <family val="2"/>
      </rPr>
      <t xml:space="preserve">附近的断崖</t>
    </r>
  </si>
  <si>
    <t xml:space="preserve">✅ 用来筛选，不能单独定价</t>
  </si>
  <si>
    <r>
      <rPr>
        <b val="true"/>
        <sz val="11"/>
        <rFont val="Arial"/>
        <family val="0"/>
        <charset val="1"/>
      </rPr>
      <t xml:space="preserve">Focus Group</t>
    </r>
    <r>
      <rPr>
        <b val="true"/>
        <sz val="11"/>
        <rFont val="Linux Libertine G"/>
        <family val="2"/>
      </rPr>
      <t xml:space="preserve">（系统）</t>
    </r>
  </si>
  <si>
    <t xml:space="preserve">每年必买</t>
  </si>
  <si>
    <r>
      <rPr>
        <sz val="11"/>
        <rFont val="Linux Libertine G"/>
        <family val="2"/>
      </rPr>
      <t xml:space="preserve">每项属性被评为 </t>
    </r>
    <r>
      <rPr>
        <sz val="11"/>
        <rFont val="Linux Libertine G"/>
        <family val="2"/>
        <charset val="1"/>
      </rPr>
      <t xml:space="preserve">best / good / too small </t>
    </r>
    <r>
      <rPr>
        <sz val="11"/>
        <rFont val="Linux Libertine G"/>
        <family val="2"/>
      </rPr>
      <t xml:space="preserve">等</t>
    </r>
  </si>
  <si>
    <t xml:space="preserve">尺寸太小或太大一眼就能看出来</t>
  </si>
  <si>
    <t xml:space="preserve">✅ 必买</t>
  </si>
  <si>
    <r>
      <rPr>
        <b val="true"/>
        <sz val="11"/>
        <rFont val="Arial"/>
        <family val="0"/>
        <charset val="1"/>
      </rPr>
      <t xml:space="preserve">Microsegment</t>
    </r>
    <r>
      <rPr>
        <b val="true"/>
        <sz val="11"/>
        <rFont val="Linux Libertine G"/>
        <family val="2"/>
      </rPr>
      <t xml:space="preserve">（系统）</t>
    </r>
  </si>
  <si>
    <t xml:space="preserve">偏好区间、需求预测、价格敏感度</t>
  </si>
  <si>
    <r>
      <rPr>
        <sz val="11"/>
        <rFont val="Linux Libertine G"/>
        <family val="2"/>
      </rPr>
      <t xml:space="preserve">需求预测偏高（实际只有预测的 </t>
    </r>
    <r>
      <rPr>
        <sz val="11"/>
        <rFont val="Linux Libertine G"/>
        <family val="2"/>
        <charset val="1"/>
      </rPr>
      <t xml:space="preserve">76–85%</t>
    </r>
    <r>
      <rPr>
        <sz val="11"/>
        <rFont val="Linux Libertine G"/>
        <family val="2"/>
      </rPr>
      <t xml:space="preserve">）</t>
    </r>
  </si>
  <si>
    <t xml:space="preserve">⚠️ 偏好可以信，需求预测不能直接用</t>
  </si>
  <si>
    <r>
      <rPr>
        <b val="true"/>
        <sz val="11"/>
        <rFont val="Arial"/>
        <family val="0"/>
        <charset val="1"/>
      </rPr>
      <t xml:space="preserve">Sales by Microsegment</t>
    </r>
    <r>
      <rPr>
        <b val="true"/>
        <sz val="11"/>
        <rFont val="Linux Libertine G"/>
        <family val="2"/>
      </rPr>
      <t xml:space="preserve">（系统）</t>
    </r>
  </si>
  <si>
    <t xml:space="preserve">需要时</t>
  </si>
  <si>
    <t xml:space="preserve">每辆车实际卖到了哪些细分市场</t>
  </si>
  <si>
    <r>
      <rPr>
        <sz val="11"/>
        <rFont val="Arial"/>
        <family val="0"/>
        <charset val="1"/>
      </rPr>
      <t xml:space="preserve">Cafav </t>
    </r>
    <r>
      <rPr>
        <sz val="11"/>
        <rFont val="Linux Libertine G"/>
        <family val="2"/>
      </rPr>
      <t xml:space="preserve">有 </t>
    </r>
    <r>
      <rPr>
        <sz val="11"/>
        <rFont val="Arial"/>
        <family val="0"/>
        <charset val="1"/>
      </rPr>
      <t xml:space="preserve">20% </t>
    </r>
    <r>
      <rPr>
        <sz val="11"/>
        <rFont val="Linux Libertine G"/>
        <family val="2"/>
      </rPr>
      <t xml:space="preserve">卖进 </t>
    </r>
    <r>
      <rPr>
        <sz val="11"/>
        <rFont val="Arial"/>
        <family val="0"/>
        <charset val="1"/>
      </rPr>
      <t xml:space="preserve">2E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Crash </t>
    </r>
    <r>
      <rPr>
        <sz val="11"/>
        <rFont val="Linux Libertine G"/>
        <family val="2"/>
      </rPr>
      <t xml:space="preserve">只有 </t>
    </r>
    <r>
      <rPr>
        <sz val="11"/>
        <rFont val="Arial"/>
        <family val="0"/>
        <charset val="1"/>
      </rPr>
      <t xml:space="preserve">20% </t>
    </r>
    <r>
      <rPr>
        <sz val="11"/>
        <rFont val="Linux Libertine G"/>
        <family val="2"/>
      </rPr>
      <t xml:space="preserve">卖进 </t>
    </r>
    <r>
      <rPr>
        <sz val="11"/>
        <rFont val="Arial"/>
        <family val="0"/>
        <charset val="1"/>
      </rPr>
      <t xml:space="preserve">3T</t>
    </r>
  </si>
  <si>
    <t xml:space="preserve">✅ 判断目标市场时很有用</t>
  </si>
  <si>
    <r>
      <rPr>
        <b val="true"/>
        <sz val="11"/>
        <rFont val="Arial"/>
        <family val="0"/>
        <charset val="1"/>
      </rPr>
      <t xml:space="preserve">Pro-Forma</t>
    </r>
    <r>
      <rPr>
        <b val="true"/>
        <sz val="11"/>
        <rFont val="Linux Libertine G"/>
        <family val="2"/>
      </rPr>
      <t xml:space="preserve">（系统）</t>
    </r>
  </si>
  <si>
    <t xml:space="preserve">每年</t>
  </si>
  <si>
    <t xml:space="preserve">按当前决策预测利润表和现金</t>
  </si>
  <si>
    <r>
      <rPr>
        <sz val="11"/>
        <rFont val="Arial"/>
        <family val="0"/>
        <charset val="1"/>
      </rPr>
      <t xml:space="preserve">Y2</t>
    </r>
    <r>
      <rPr>
        <sz val="11"/>
        <rFont val="Linux Libertine G"/>
        <family val="2"/>
      </rPr>
      <t xml:space="preserve">、</t>
    </r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净利都比实际高估约 </t>
    </r>
    <r>
      <rPr>
        <sz val="11"/>
        <rFont val="Arial"/>
        <family val="0"/>
        <charset val="1"/>
      </rPr>
      <t xml:space="preserve">$700M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现金高估约 </t>
    </r>
    <r>
      <rPr>
        <sz val="11"/>
        <rFont val="Arial"/>
        <family val="0"/>
        <charset val="1"/>
      </rPr>
      <t xml:space="preserve">$3.3B</t>
    </r>
  </si>
  <si>
    <t xml:space="preserve">⚠️ 只当参考，要配合三情景</t>
  </si>
  <si>
    <r>
      <rPr>
        <b val="true"/>
        <sz val="11"/>
        <rFont val="Arial"/>
        <family val="0"/>
        <charset val="1"/>
      </rPr>
      <t xml:space="preserve">Codex </t>
    </r>
    <r>
      <rPr>
        <b val="true"/>
        <sz val="11"/>
        <rFont val="Linux Libertine G"/>
        <family val="2"/>
      </rPr>
      <t xml:space="preserve">自动任务</t>
    </r>
  </si>
  <si>
    <r>
      <rPr>
        <sz val="11"/>
        <rFont val="Arial"/>
        <family val="0"/>
        <charset val="1"/>
      </rPr>
      <t xml:space="preserve">Y3 </t>
    </r>
    <r>
      <rPr>
        <sz val="11"/>
        <rFont val="Linux Libertine G"/>
        <family val="2"/>
      </rPr>
      <t xml:space="preserve">初</t>
    </r>
  </si>
  <si>
    <t xml:space="preserve">按小时自动填决策</t>
  </si>
  <si>
    <t xml:space="preserve">❌ 已停</t>
  </si>
  <si>
    <r>
      <rPr>
        <b val="true"/>
        <sz val="14"/>
        <rFont val="Linux Libertine G"/>
        <family val="2"/>
      </rPr>
      <t xml:space="preserve">每一期有没有按规则跑 </t>
    </r>
    <r>
      <rPr>
        <b val="true"/>
        <sz val="14"/>
        <rFont val="Linux Libertine G"/>
        <family val="2"/>
        <charset val="1"/>
      </rPr>
      <t xml:space="preserve">skill</t>
    </r>
    <r>
      <rPr>
        <b val="true"/>
        <sz val="14"/>
        <rFont val="Linux Libertine G"/>
        <family val="2"/>
      </rPr>
      <t xml:space="preserve">（规则 </t>
    </r>
    <r>
      <rPr>
        <b val="true"/>
        <sz val="14"/>
        <rFont val="Linux Libertine G"/>
        <family val="2"/>
        <charset val="1"/>
      </rPr>
      <t xml:space="preserve">10/3 </t>
    </r>
    <r>
      <rPr>
        <b val="true"/>
        <sz val="14"/>
        <rFont val="Linux Libertine G"/>
        <family val="2"/>
      </rPr>
      <t xml:space="preserve">才定，所以练习轮前两年都没跑）</t>
    </r>
  </si>
  <si>
    <t xml:space="preserve">期</t>
  </si>
  <si>
    <t xml:space="preserve">pricing</t>
  </si>
  <si>
    <t xml:space="preserve">humanizer</t>
  </si>
  <si>
    <t xml:space="preserve">记录在哪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</si>
  <si>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Y1</t>
    </r>
  </si>
  <si>
    <t xml:space="preserve">当时还没有这条规则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</si>
  <si>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Y2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</si>
  <si>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Y3</t>
    </r>
  </si>
  <si>
    <r>
      <rPr>
        <sz val="11"/>
        <rFont val="Linux Libertine G"/>
        <family val="2"/>
      </rPr>
      <t xml:space="preserve">❌（只看了一种情景，后来被强制借了 </t>
    </r>
    <r>
      <rPr>
        <sz val="11"/>
        <rFont val="Linux Libertine G"/>
        <family val="2"/>
        <charset val="1"/>
      </rPr>
      <t xml:space="preserve">$751M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</si>
  <si>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md </t>
    </r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节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</si>
  <si>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Y4</t>
    </r>
  </si>
  <si>
    <r>
      <rPr>
        <sz val="11"/>
        <rFont val="Linux Libertine G"/>
        <family val="2"/>
        <charset val="1"/>
      </rPr>
      <t xml:space="preserve">md </t>
    </r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节“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决策的 </t>
    </r>
    <r>
      <rPr>
        <sz val="11"/>
        <rFont val="Linux Libertine G"/>
        <family val="2"/>
        <charset val="1"/>
      </rPr>
      <t xml:space="preserve">skill </t>
    </r>
    <r>
      <rPr>
        <sz val="11"/>
        <rFont val="Linux Libertine G"/>
        <family val="2"/>
      </rPr>
      <t xml:space="preserve">复查”</t>
    </r>
  </si>
  <si>
    <r>
      <rPr>
        <sz val="11"/>
        <rFont val="Linux Libertine G"/>
        <family val="2"/>
        <charset val="1"/>
      </rPr>
      <t xml:space="preserve">md 0c </t>
    </r>
    <r>
      <rPr>
        <sz val="11"/>
        <rFont val="Linux Libertine G"/>
        <family val="2"/>
      </rPr>
      <t xml:space="preserve">节“正式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skill </t>
    </r>
    <r>
      <rPr>
        <sz val="11"/>
        <rFont val="Linux Libertine G"/>
        <family val="2"/>
      </rPr>
      <t xml:space="preserve">复查”；下面这张表</t>
    </r>
  </si>
  <si>
    <r>
      <rPr>
        <sz val="11"/>
        <rFont val="Linux Libertine G"/>
        <family val="2"/>
        <charset val="1"/>
      </rPr>
      <t xml:space="preserve">md 0c </t>
    </r>
    <r>
      <rPr>
        <sz val="11"/>
        <rFont val="Linux Libertine G"/>
        <family val="2"/>
      </rPr>
      <t xml:space="preserve">节“正式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skill </t>
    </r>
    <r>
      <rPr>
        <sz val="11"/>
        <rFont val="Linux Libertine G"/>
        <family val="2"/>
      </rPr>
      <t xml:space="preserve">复查”；下面的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表</t>
    </r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</si>
  <si>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Y1 pricing </t>
    </r>
    <r>
      <rPr>
        <b val="true"/>
        <sz val="14"/>
        <rFont val="Linux Libertine G"/>
        <family val="2"/>
      </rPr>
      <t xml:space="preserve">复查：各方案在产能受限时的贡献（销量 </t>
    </r>
    <r>
      <rPr>
        <b val="true"/>
        <sz val="14"/>
        <rFont val="Linux Libertine G"/>
        <family val="2"/>
        <charset val="1"/>
      </rPr>
      <t xml:space="preserve">= Test Market </t>
    </r>
    <r>
      <rPr>
        <b val="true"/>
        <sz val="14"/>
        <rFont val="Linux Libertine G"/>
        <family val="2"/>
      </rPr>
      <t xml:space="preserve">份额 </t>
    </r>
    <r>
      <rPr>
        <b val="true"/>
        <sz val="14"/>
        <rFont val="Linux Libertine G"/>
        <family val="2"/>
        <charset val="1"/>
      </rPr>
      <t xml:space="preserve">× </t>
    </r>
    <r>
      <rPr>
        <b val="true"/>
        <sz val="14"/>
        <rFont val="Linux Libertine G"/>
        <family val="2"/>
      </rPr>
      <t xml:space="preserve">全行业销量）</t>
    </r>
  </si>
  <si>
    <r>
      <rPr>
        <sz val="11"/>
        <rFont val="Linux Libertine G"/>
        <family val="2"/>
      </rPr>
      <t xml:space="preserve">全行业销量（千辆）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</si>
  <si>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t xml:space="preserve">车</t>
  </si>
  <si>
    <t xml:space="preserve">方案</t>
  </si>
  <si>
    <t xml:space="preserve">份额</t>
  </si>
  <si>
    <t xml:space="preserve">经销商折扣</t>
  </si>
  <si>
    <t xml:space="preserve">单车变动成本</t>
  </si>
  <si>
    <r>
      <rPr>
        <b val="true"/>
        <sz val="11"/>
        <color rgb="FFFFFFFF"/>
        <rFont val="Linux Libertine G"/>
        <family val="2"/>
      </rPr>
      <t xml:space="preserve">广告 </t>
    </r>
    <r>
      <rPr>
        <b val="true"/>
        <sz val="11"/>
        <color rgb="FFFFFFFF"/>
        <rFont val="Linux Libertine G"/>
        <family val="2"/>
        <charset val="1"/>
      </rPr>
      <t xml:space="preserve">+ </t>
    </r>
    <r>
      <rPr>
        <b val="true"/>
        <sz val="11"/>
        <color rgb="FFFFFFFF"/>
        <rFont val="Linux Libertine G"/>
        <family val="2"/>
      </rPr>
      <t xml:space="preserve">促销（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</si>
  <si>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销量（千辆）</t>
  </si>
  <si>
    <t xml:space="preserve">单车毛利</t>
  </si>
  <si>
    <r>
      <rPr>
        <b val="true"/>
        <sz val="11"/>
        <color rgb="FFFFFFFF"/>
        <rFont val="Linux Libertine G"/>
        <family val="2"/>
      </rPr>
      <t xml:space="preserve">贡献（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</si>
  <si>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选了吗</t>
  </si>
  <si>
    <t xml:space="preserve">Cafav</t>
  </si>
  <si>
    <r>
      <rPr>
        <sz val="11"/>
        <rFont val="Linux Libertine G"/>
        <family val="2"/>
      </rPr>
      <t xml:space="preserve">原价 </t>
    </r>
    <r>
      <rPr>
        <sz val="11"/>
        <rFont val="Linux Libertine G"/>
        <family val="2"/>
        <charset val="1"/>
      </rPr>
      <t xml:space="preserve">/ 50 / 35</t>
    </r>
  </si>
  <si>
    <t xml:space="preserve">$21,000 / 50 / 35</t>
  </si>
  <si>
    <t xml:space="preserve">$21,800 / 50 / 35</t>
  </si>
  <si>
    <t xml:space="preserve">$22,385 / 50 / 35</t>
  </si>
  <si>
    <t xml:space="preserve">$21,800 / 100 / 70</t>
  </si>
  <si>
    <t xml:space="preserve">$22,385 / 100 / 70</t>
  </si>
  <si>
    <t xml:space="preserve">Crash</t>
  </si>
  <si>
    <r>
      <rPr>
        <sz val="11"/>
        <rFont val="Linux Libertine G"/>
        <family val="2"/>
      </rPr>
      <t xml:space="preserve">原价 </t>
    </r>
    <r>
      <rPr>
        <sz val="11"/>
        <rFont val="Linux Libertine G"/>
        <family val="2"/>
        <charset val="1"/>
      </rPr>
      <t xml:space="preserve">/ 25 / 10</t>
    </r>
  </si>
  <si>
    <t xml:space="preserve">$21,500 / 25 / 10</t>
  </si>
  <si>
    <t xml:space="preserve">$22,500 / 25 / 10</t>
  </si>
  <si>
    <t xml:space="preserve">$22,500 / 50 / 20</t>
  </si>
  <si>
    <t xml:space="preserve">Cameo</t>
  </si>
  <si>
    <r>
      <rPr>
        <sz val="11"/>
        <rFont val="Linux Libertine G"/>
        <family val="2"/>
      </rPr>
      <t xml:space="preserve">原价 </t>
    </r>
    <r>
      <rPr>
        <sz val="11"/>
        <rFont val="Linux Libertine G"/>
        <family val="2"/>
        <charset val="1"/>
      </rPr>
      <t xml:space="preserve">/ 30 / 15</t>
    </r>
  </si>
  <si>
    <t xml:space="preserve">$12,200 / 30 / 15</t>
  </si>
  <si>
    <t xml:space="preserve">$12,640 / 30 / 15</t>
  </si>
  <si>
    <t xml:space="preserve">结论</t>
  </si>
  <si>
    <r>
      <rPr>
        <sz val="11"/>
        <color theme="1"/>
        <rFont val="Linux Libertine G"/>
        <family val="2"/>
        <charset val="1"/>
      </rPr>
      <t xml:space="preserve">Cafav $22,385 + </t>
    </r>
    <r>
      <rPr>
        <sz val="11"/>
        <color theme="1"/>
        <rFont val="Linux Libertine G"/>
        <family val="2"/>
      </rPr>
      <t xml:space="preserve">广告加倍贡献最高，而且少卖约 </t>
    </r>
    <r>
      <rPr>
        <sz val="11"/>
        <color theme="1"/>
        <rFont val="Linux Libertine G"/>
        <family val="2"/>
        <charset val="1"/>
      </rPr>
      <t xml:space="preserve">160K </t>
    </r>
    <r>
      <rPr>
        <sz val="11"/>
        <color theme="1"/>
        <rFont val="Linux Libertine G"/>
        <family val="2"/>
      </rPr>
      <t xml:space="preserve">辆、省下超产能费；</t>
    </r>
    <r>
      <rPr>
        <sz val="11"/>
        <color theme="1"/>
        <rFont val="Linux Libertine G"/>
        <family val="2"/>
        <charset val="1"/>
      </rPr>
      <t xml:space="preserve">Crash $22,500 + 50/20 </t>
    </r>
    <r>
      <rPr>
        <sz val="11"/>
        <color theme="1"/>
        <rFont val="Linux Libertine G"/>
        <family val="2"/>
      </rPr>
      <t xml:space="preserve">最好；</t>
    </r>
    <r>
      <rPr>
        <sz val="11"/>
        <color theme="1"/>
        <rFont val="Linux Libertine G"/>
        <family val="2"/>
        <charset val="1"/>
      </rPr>
      <t xml:space="preserve">Cameo </t>
    </r>
    <r>
      <rPr>
        <sz val="11"/>
        <color theme="1"/>
        <rFont val="Linux Libertine G"/>
        <family val="2"/>
      </rPr>
      <t xml:space="preserve">提价 </t>
    </r>
    <r>
      <rPr>
        <sz val="11"/>
        <color theme="1"/>
        <rFont val="Linux Libertine G"/>
        <family val="2"/>
        <charset val="1"/>
      </rPr>
      <t xml:space="preserve">10% </t>
    </r>
    <r>
      <rPr>
        <sz val="11"/>
        <color theme="1"/>
        <rFont val="Linux Libertine G"/>
        <family val="2"/>
      </rPr>
      <t xml:space="preserve">份额只少 </t>
    </r>
    <r>
      <rPr>
        <sz val="11"/>
        <color theme="1"/>
        <rFont val="Linux Libertine G"/>
        <family val="2"/>
        <charset val="1"/>
      </rPr>
      <t xml:space="preserve">0.1 </t>
    </r>
    <r>
      <rPr>
        <sz val="11"/>
        <color theme="1"/>
        <rFont val="Linux Libertine G"/>
        <family val="2"/>
      </rPr>
      <t xml:space="preserve">个百分点，</t>
    </r>
    <r>
      <rPr>
        <sz val="11"/>
        <color theme="1"/>
        <rFont val="Linux Libertine G"/>
        <family val="2"/>
        <charset val="1"/>
      </rPr>
      <t xml:space="preserve">Y2 </t>
    </r>
    <r>
      <rPr>
        <sz val="11"/>
        <color theme="1"/>
        <rFont val="Linux Libertine G"/>
        <family val="2"/>
      </rPr>
      <t xml:space="preserve">接着往上测。假设对手不改价；单车变动成本取自 </t>
    </r>
    <r>
      <rPr>
        <sz val="11"/>
        <color theme="1"/>
        <rFont val="Linux Libertine G"/>
        <family val="2"/>
        <charset val="1"/>
      </rPr>
      <t xml:space="preserve">Pro-Forma</t>
    </r>
    <r>
      <rPr>
        <sz val="11"/>
        <color theme="1"/>
        <rFont val="Linux Libertine G"/>
        <family val="2"/>
      </rPr>
      <t xml:space="preserve">。</t>
    </r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</si>
  <si>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Y2 pricing </t>
    </r>
    <r>
      <rPr>
        <b val="true"/>
        <sz val="14"/>
        <rFont val="Linux Libertine G"/>
        <family val="2"/>
      </rPr>
      <t xml:space="preserve">复查：份额 </t>
    </r>
    <r>
      <rPr>
        <b val="true"/>
        <sz val="14"/>
        <rFont val="Linux Libertine G"/>
        <family val="2"/>
        <charset val="1"/>
      </rPr>
      <t xml:space="preserve">= Test Market </t>
    </r>
    <r>
      <rPr>
        <b val="true"/>
        <sz val="14"/>
        <rFont val="Linux Libertine G"/>
        <family val="2"/>
      </rPr>
      <t xml:space="preserve">旧版份额 </t>
    </r>
    <r>
      <rPr>
        <b val="true"/>
        <sz val="14"/>
        <rFont val="Linux Libertine G"/>
        <family val="2"/>
        <charset val="1"/>
      </rPr>
      <t xml:space="preserve">+ </t>
    </r>
    <r>
      <rPr>
        <b val="true"/>
        <sz val="14"/>
        <rFont val="Linux Libertine G"/>
        <family val="2"/>
      </rPr>
      <t xml:space="preserve">升级带来的提升 </t>
    </r>
    <r>
      <rPr>
        <b val="true"/>
        <sz val="14"/>
        <rFont val="Linux Libertine G"/>
        <family val="2"/>
        <charset val="1"/>
      </rPr>
      <t xml:space="preserve">[</t>
    </r>
    <r>
      <rPr>
        <b val="true"/>
        <sz val="14"/>
        <rFont val="Linux Libertine G"/>
        <family val="2"/>
      </rPr>
      <t xml:space="preserve">推断：</t>
    </r>
    <r>
      <rPr>
        <b val="true"/>
        <sz val="14"/>
        <rFont val="Linux Libertine G"/>
        <family val="2"/>
        <charset val="1"/>
      </rPr>
      <t xml:space="preserve">Cafav +1.2 </t>
    </r>
    <r>
      <rPr>
        <b val="true"/>
        <sz val="14"/>
        <rFont val="Linux Libertine G"/>
        <family val="2"/>
      </rPr>
      <t xml:space="preserve">点、</t>
    </r>
    <r>
      <rPr>
        <b val="true"/>
        <sz val="14"/>
        <rFont val="Linux Libertine G"/>
        <family val="2"/>
        <charset val="1"/>
      </rPr>
      <t xml:space="preserve">Crash +0.5 </t>
    </r>
    <r>
      <rPr>
        <b val="true"/>
        <sz val="14"/>
        <rFont val="Linux Libertine G"/>
        <family val="2"/>
      </rPr>
      <t xml:space="preserve">点</t>
    </r>
    <r>
      <rPr>
        <b val="true"/>
        <sz val="14"/>
        <rFont val="Linux Libertine G"/>
        <family val="2"/>
        <charset val="1"/>
      </rPr>
      <t xml:space="preserve">]</t>
    </r>
  </si>
  <si>
    <t xml:space="preserve">$23,000 / 100 / 70</t>
  </si>
  <si>
    <t xml:space="preserve">$23,500 / 200 / 140</t>
  </si>
  <si>
    <t xml:space="preserve">$24,000 / 100 / 70</t>
  </si>
  <si>
    <t xml:space="preserve">$24,000 / 200 / 140</t>
  </si>
  <si>
    <t xml:space="preserve">$24,600 / 100 / 70</t>
  </si>
  <si>
    <t xml:space="preserve">$23,500 / 50 / 20</t>
  </si>
  <si>
    <t xml:space="preserve">$24,000 / 100 / 40</t>
  </si>
  <si>
    <t xml:space="preserve">$24,500 / 100 / 40</t>
  </si>
  <si>
    <t xml:space="preserve">$24,500 / 50 / 20</t>
  </si>
  <si>
    <t xml:space="preserve">$13,400 / 30 / 15</t>
  </si>
  <si>
    <t xml:space="preserve">$13,900 / 30 / 15</t>
  </si>
  <si>
    <r>
      <rPr>
        <sz val="11"/>
        <color theme="1"/>
        <rFont val="Linux Libertine G"/>
        <family val="2"/>
        <charset val="1"/>
      </rPr>
      <t xml:space="preserve">Cafav </t>
    </r>
    <r>
      <rPr>
        <sz val="11"/>
        <color theme="1"/>
        <rFont val="Linux Libertine G"/>
        <family val="2"/>
      </rPr>
      <t xml:space="preserve">从 </t>
    </r>
    <r>
      <rPr>
        <sz val="11"/>
        <color theme="1"/>
        <rFont val="Linux Libertine G"/>
        <family val="2"/>
        <charset val="1"/>
      </rPr>
      <t xml:space="preserve">$23,500 </t>
    </r>
    <r>
      <rPr>
        <sz val="11"/>
        <color theme="1"/>
        <rFont val="Linux Libertine G"/>
        <family val="2"/>
      </rPr>
      <t xml:space="preserve">改成 </t>
    </r>
    <r>
      <rPr>
        <sz val="11"/>
        <color theme="1"/>
        <rFont val="Linux Libertine G"/>
        <family val="2"/>
        <charset val="1"/>
      </rPr>
      <t xml:space="preserve">$24,000</t>
    </r>
    <r>
      <rPr>
        <sz val="11"/>
        <color theme="1"/>
        <rFont val="Linux Libertine G"/>
        <family val="2"/>
      </rPr>
      <t xml:space="preserve">（贡献 </t>
    </r>
    <r>
      <rPr>
        <sz val="11"/>
        <color theme="1"/>
        <rFont val="Linux Libertine G"/>
        <family val="2"/>
        <charset val="1"/>
      </rPr>
      <t xml:space="preserve">+$162M</t>
    </r>
    <r>
      <rPr>
        <sz val="11"/>
        <color theme="1"/>
        <rFont val="Linux Libertine G"/>
        <family val="2"/>
      </rPr>
      <t xml:space="preserve">、少用 </t>
    </r>
    <r>
      <rPr>
        <sz val="11"/>
        <color theme="1"/>
        <rFont val="Linux Libertine G"/>
        <family val="2"/>
        <charset val="1"/>
      </rPr>
      <t xml:space="preserve">26K </t>
    </r>
    <r>
      <rPr>
        <sz val="11"/>
        <color theme="1"/>
        <rFont val="Linux Libertine G"/>
        <family val="2"/>
      </rPr>
      <t xml:space="preserve">产能），没上 </t>
    </r>
    <r>
      <rPr>
        <sz val="11"/>
        <color theme="1"/>
        <rFont val="Linux Libertine G"/>
        <family val="2"/>
        <charset val="1"/>
      </rPr>
      <t xml:space="preserve">$24,600 </t>
    </r>
    <r>
      <rPr>
        <sz val="11"/>
        <color theme="1"/>
        <rFont val="Linux Libertine G"/>
        <family val="2"/>
      </rPr>
      <t xml:space="preserve">是因为 </t>
    </r>
    <r>
      <rPr>
        <sz val="11"/>
        <color theme="1"/>
        <rFont val="Linux Libertine G"/>
        <family val="2"/>
        <charset val="1"/>
      </rPr>
      <t xml:space="preserve">Concept Test </t>
    </r>
    <r>
      <rPr>
        <sz val="11"/>
        <color theme="1"/>
        <rFont val="Linux Libertine G"/>
        <family val="2"/>
      </rPr>
      <t xml:space="preserve">在 </t>
    </r>
    <r>
      <rPr>
        <sz val="11"/>
        <color theme="1"/>
        <rFont val="Linux Libertine G"/>
        <family val="2"/>
        <charset val="1"/>
      </rPr>
      <t xml:space="preserve">$24,500 </t>
    </r>
    <r>
      <rPr>
        <sz val="11"/>
        <color theme="1"/>
        <rFont val="Linux Libertine G"/>
        <family val="2"/>
      </rPr>
      <t xml:space="preserve">掉到 </t>
    </r>
    <r>
      <rPr>
        <sz val="11"/>
        <color theme="1"/>
        <rFont val="Linux Libertine G"/>
        <family val="2"/>
        <charset val="1"/>
      </rPr>
      <t xml:space="preserve">12%</t>
    </r>
    <r>
      <rPr>
        <sz val="11"/>
        <color theme="1"/>
        <rFont val="Linux Libertine G"/>
        <family val="2"/>
      </rPr>
      <t xml:space="preserve">；</t>
    </r>
    <r>
      <rPr>
        <sz val="11"/>
        <color theme="1"/>
        <rFont val="Linux Libertine G"/>
        <family val="2"/>
        <charset val="1"/>
      </rPr>
      <t xml:space="preserve">Crash </t>
    </r>
    <r>
      <rPr>
        <sz val="11"/>
        <color theme="1"/>
        <rFont val="Linux Libertine G"/>
        <family val="2"/>
      </rPr>
      <t xml:space="preserve">选和 </t>
    </r>
    <r>
      <rPr>
        <sz val="11"/>
        <color theme="1"/>
        <rFont val="Linux Libertine G"/>
        <family val="2"/>
        <charset val="1"/>
      </rPr>
      <t xml:space="preserve">Dusty </t>
    </r>
    <r>
      <rPr>
        <sz val="11"/>
        <color theme="1"/>
        <rFont val="Linux Libertine G"/>
        <family val="2"/>
      </rPr>
      <t xml:space="preserve">同价的 </t>
    </r>
    <r>
      <rPr>
        <sz val="11"/>
        <color theme="1"/>
        <rFont val="Linux Libertine G"/>
        <family val="2"/>
        <charset val="1"/>
      </rPr>
      <t xml:space="preserve">$24,000</t>
    </r>
    <r>
      <rPr>
        <sz val="11"/>
        <color theme="1"/>
        <rFont val="Linux Libertine G"/>
        <family val="2"/>
      </rPr>
      <t xml:space="preserve">；</t>
    </r>
    <r>
      <rPr>
        <sz val="11"/>
        <color theme="1"/>
        <rFont val="Linux Libertine G"/>
        <family val="2"/>
        <charset val="1"/>
      </rPr>
      <t xml:space="preserve">Cameo </t>
    </r>
    <r>
      <rPr>
        <sz val="11"/>
        <color theme="1"/>
        <rFont val="Linux Libertine G"/>
        <family val="2"/>
      </rPr>
      <t xml:space="preserve">用上限 </t>
    </r>
    <r>
      <rPr>
        <sz val="11"/>
        <color theme="1"/>
        <rFont val="Linux Libertine G"/>
        <family val="2"/>
        <charset val="1"/>
      </rPr>
      <t xml:space="preserve">$13,900</t>
    </r>
    <r>
      <rPr>
        <sz val="11"/>
        <color theme="1"/>
        <rFont val="Linux Libertine G"/>
        <family val="2"/>
      </rPr>
      <t xml:space="preserve">。</t>
    </r>
    <r>
      <rPr>
        <sz val="11"/>
        <color theme="1"/>
        <rFont val="Linux Libertine G"/>
        <family val="2"/>
        <charset val="1"/>
      </rPr>
      <t xml:space="preserve">Concept Test </t>
    </r>
    <r>
      <rPr>
        <sz val="11"/>
        <color theme="1"/>
        <rFont val="Linux Libertine G"/>
        <family val="2"/>
      </rPr>
      <t xml:space="preserve">是问卷，定价以 </t>
    </r>
    <r>
      <rPr>
        <sz val="11"/>
        <color theme="1"/>
        <rFont val="Linux Libertine G"/>
        <family val="2"/>
        <charset val="1"/>
      </rPr>
      <t xml:space="preserve">Test Market </t>
    </r>
    <r>
      <rPr>
        <sz val="11"/>
        <color theme="1"/>
        <rFont val="Linux Libertine G"/>
        <family val="2"/>
      </rPr>
      <t xml:space="preserve">为准。</t>
    </r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</si>
  <si>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Y3</t>
    </r>
    <r>
      <rPr>
        <b val="true"/>
        <sz val="14"/>
        <rFont val="Linux Libertine G"/>
        <family val="2"/>
      </rPr>
      <t xml:space="preserve">：</t>
    </r>
    <r>
      <rPr>
        <b val="true"/>
        <sz val="14"/>
        <rFont val="Linux Libertine G"/>
        <family val="2"/>
        <charset val="1"/>
      </rPr>
      <t xml:space="preserve">skill </t>
    </r>
    <r>
      <rPr>
        <b val="true"/>
        <sz val="14"/>
        <rFont val="Linux Libertine G"/>
        <family val="2"/>
      </rPr>
      <t xml:space="preserve">都跑过（</t>
    </r>
    <r>
      <rPr>
        <b val="true"/>
        <sz val="14"/>
        <rFont val="Linux Libertine G"/>
        <family val="2"/>
        <charset val="1"/>
      </rPr>
      <t xml:space="preserve">pricing</t>
    </r>
    <r>
      <rPr>
        <b val="true"/>
        <sz val="14"/>
        <rFont val="Linux Libertine G"/>
        <family val="2"/>
      </rPr>
      <t xml:space="preserve">、</t>
    </r>
    <r>
      <rPr>
        <b val="true"/>
        <sz val="14"/>
        <rFont val="Linux Libertine G"/>
        <family val="2"/>
        <charset val="1"/>
      </rPr>
      <t xml:space="preserve">startup-financial-modeling</t>
    </r>
    <r>
      <rPr>
        <b val="true"/>
        <sz val="14"/>
        <rFont val="Linux Libertine G"/>
        <family val="2"/>
      </rPr>
      <t xml:space="preserve">、</t>
    </r>
    <r>
      <rPr>
        <b val="true"/>
        <sz val="14"/>
        <rFont val="Linux Libertine G"/>
        <family val="2"/>
        <charset val="1"/>
      </rPr>
      <t xml:space="preserve">humanizer</t>
    </r>
    <r>
      <rPr>
        <b val="true"/>
        <sz val="14"/>
        <rFont val="Linux Libertine G"/>
        <family val="2"/>
      </rPr>
      <t xml:space="preserve">）；四款车的最终组合都原样测过</t>
    </r>
  </si>
  <si>
    <r>
      <rPr>
        <b val="true"/>
        <sz val="11"/>
        <color rgb="FFFFFFFF"/>
        <rFont val="Linux Libertine G"/>
        <family val="2"/>
      </rPr>
      <t xml:space="preserve">最终价格 </t>
    </r>
    <r>
      <rPr>
        <b val="true"/>
        <sz val="11"/>
        <color rgb="FFFFFFFF"/>
        <rFont val="Linux Libertine G"/>
        <family val="2"/>
        <charset val="1"/>
      </rPr>
      <t xml:space="preserve">/ </t>
    </r>
    <r>
      <rPr>
        <b val="true"/>
        <sz val="11"/>
        <color rgb="FFFFFFFF"/>
        <rFont val="Linux Libertine G"/>
        <family val="2"/>
      </rPr>
      <t xml:space="preserve">广告 </t>
    </r>
    <r>
      <rPr>
        <b val="true"/>
        <sz val="11"/>
        <color rgb="FFFFFFFF"/>
        <rFont val="Linux Libertine G"/>
        <family val="2"/>
        <charset val="1"/>
      </rPr>
      <t xml:space="preserve">/ </t>
    </r>
    <r>
      <rPr>
        <b val="true"/>
        <sz val="11"/>
        <color rgb="FFFFFFFF"/>
        <rFont val="Linux Libertine G"/>
        <family val="2"/>
      </rPr>
      <t xml:space="preserve">促销</t>
    </r>
  </si>
  <si>
    <t xml:space="preserve">用什么测的</t>
  </si>
  <si>
    <t xml:space="preserve">复查结论</t>
  </si>
  <si>
    <t xml:space="preserve">$26,400 / 150 / 100</t>
  </si>
  <si>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（原样）</t>
    </r>
  </si>
  <si>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8.3% </t>
    </r>
    <r>
      <rPr>
        <sz val="11"/>
        <rFont val="Linux Libertine G"/>
        <family val="2"/>
      </rPr>
      <t xml:space="preserve">不变，贡献 </t>
    </r>
    <r>
      <rPr>
        <sz val="11"/>
        <rFont val="Linux Libertine G"/>
        <family val="2"/>
        <charset val="1"/>
      </rPr>
      <t xml:space="preserve">$6,879M → $8,869M</t>
    </r>
  </si>
  <si>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份额不变，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被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产量卡住</t>
    </r>
  </si>
  <si>
    <t xml:space="preserve">Canyon</t>
  </si>
  <si>
    <t xml:space="preserve">$39,000 / 200 / 60</t>
  </si>
  <si>
    <r>
      <rPr>
        <sz val="11"/>
        <rFont val="Linux Libertine G"/>
        <family val="2"/>
        <charset val="1"/>
      </rPr>
      <t xml:space="preserve">Concept Test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$39K </t>
    </r>
    <r>
      <rPr>
        <sz val="11"/>
        <rFont val="Linux Libertine G"/>
        <family val="2"/>
      </rPr>
      <t xml:space="preserve">原样测过）</t>
    </r>
  </si>
  <si>
    <r>
      <rPr>
        <sz val="11"/>
        <rFont val="Linux Libertine G"/>
        <family val="2"/>
        <charset val="1"/>
      </rPr>
      <t xml:space="preserve">5U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$36K 75.0%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$38K 74.4%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$39K 72.5%</t>
    </r>
  </si>
  <si>
    <r>
      <rPr>
        <sz val="11"/>
        <rFont val="Linux Libertine G"/>
        <family val="2"/>
      </rPr>
      <t xml:space="preserve">从 </t>
    </r>
    <r>
      <rPr>
        <sz val="11"/>
        <rFont val="Linux Libertine G"/>
        <family val="2"/>
        <charset val="1"/>
      </rPr>
      <t xml:space="preserve">$38,000 </t>
    </r>
    <r>
      <rPr>
        <sz val="11"/>
        <rFont val="Linux Libertine G"/>
        <family val="2"/>
      </rPr>
      <t xml:space="preserve">提到 </t>
    </r>
    <r>
      <rPr>
        <sz val="11"/>
        <rFont val="Linux Libertine G"/>
        <family val="2"/>
        <charset val="1"/>
      </rPr>
      <t xml:space="preserve">$39,000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680K </t>
    </r>
    <r>
      <rPr>
        <sz val="11"/>
        <rFont val="Linux Libertine G"/>
        <family val="2"/>
      </rPr>
      <t xml:space="preserve">辆多赚约 </t>
    </r>
    <r>
      <rPr>
        <sz val="11"/>
        <rFont val="Linux Libertine G"/>
        <family val="2"/>
        <charset val="1"/>
      </rPr>
      <t xml:space="preserve">$6 </t>
    </r>
    <r>
      <rPr>
        <sz val="11"/>
        <rFont val="Linux Libertine G"/>
        <family val="2"/>
      </rPr>
      <t xml:space="preserve">亿</t>
    </r>
  </si>
  <si>
    <t xml:space="preserve">$25,500 / 100 / 40</t>
  </si>
  <si>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5.5% → 5.1%</t>
    </r>
    <r>
      <rPr>
        <sz val="11"/>
        <rFont val="Linux Libertine G"/>
        <family val="2"/>
      </rPr>
      <t xml:space="preserve">，贡献 </t>
    </r>
    <r>
      <rPr>
        <sz val="11"/>
        <rFont val="Linux Libertine G"/>
        <family val="2"/>
        <charset val="1"/>
      </rPr>
      <t xml:space="preserve">+$205M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</si>
  <si>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不知道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会分走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买家，排产按约 </t>
    </r>
    <r>
      <rPr>
        <sz val="11"/>
        <rFont val="Linux Libertine G"/>
        <family val="2"/>
        <charset val="1"/>
      </rPr>
      <t xml:space="preserve">450K</t>
    </r>
  </si>
  <si>
    <t xml:space="preserve">$15,290 / 30 / 15</t>
  </si>
  <si>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3.8% → 3.3%</t>
    </r>
    <r>
      <rPr>
        <sz val="11"/>
        <rFont val="Linux Libertine G"/>
        <family val="2"/>
      </rPr>
      <t xml:space="preserve">，贡献 </t>
    </r>
    <r>
      <rPr>
        <sz val="11"/>
        <rFont val="Linux Libertine G"/>
        <family val="2"/>
        <charset val="1"/>
      </rPr>
      <t xml:space="preserve">+$224M</t>
    </r>
  </si>
  <si>
    <t xml:space="preserve">提价腾出产能给高毛利车</t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</si>
  <si>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Y4</t>
    </r>
    <r>
      <rPr>
        <b val="true"/>
        <sz val="14"/>
        <rFont val="Linux Libertine G"/>
        <family val="2"/>
      </rPr>
      <t xml:space="preserve">：</t>
    </r>
    <r>
      <rPr>
        <b val="true"/>
        <sz val="14"/>
        <rFont val="Linux Libertine G"/>
        <family val="2"/>
        <charset val="1"/>
      </rPr>
      <t xml:space="preserve">skill </t>
    </r>
    <r>
      <rPr>
        <b val="true"/>
        <sz val="14"/>
        <rFont val="Linux Libertine G"/>
        <family val="2"/>
      </rPr>
      <t xml:space="preserve">都跑过（</t>
    </r>
    <r>
      <rPr>
        <b val="true"/>
        <sz val="14"/>
        <rFont val="Linux Libertine G"/>
        <family val="2"/>
        <charset val="1"/>
      </rPr>
      <t xml:space="preserve">pricing</t>
    </r>
    <r>
      <rPr>
        <b val="true"/>
        <sz val="14"/>
        <rFont val="Linux Libertine G"/>
        <family val="2"/>
      </rPr>
      <t xml:space="preserve">、</t>
    </r>
    <r>
      <rPr>
        <b val="true"/>
        <sz val="14"/>
        <rFont val="Linux Libertine G"/>
        <family val="2"/>
        <charset val="1"/>
      </rPr>
      <t xml:space="preserve">startup-financial-modeling</t>
    </r>
    <r>
      <rPr>
        <b val="true"/>
        <sz val="14"/>
        <rFont val="Linux Libertine G"/>
        <family val="2"/>
      </rPr>
      <t xml:space="preserve">、</t>
    </r>
    <r>
      <rPr>
        <b val="true"/>
        <sz val="14"/>
        <rFont val="Linux Libertine G"/>
        <family val="2"/>
        <charset val="1"/>
      </rPr>
      <t xml:space="preserve">humanizer</t>
    </r>
    <r>
      <rPr>
        <b val="true"/>
        <sz val="14"/>
        <rFont val="Linux Libertine G"/>
        <family val="2"/>
      </rPr>
      <t xml:space="preserve">）；</t>
    </r>
    <r>
      <rPr>
        <b val="true"/>
        <sz val="14"/>
        <rFont val="Linux Libertine G"/>
        <family val="2"/>
        <charset val="1"/>
      </rPr>
      <t xml:space="preserve">Test Market 10 </t>
    </r>
    <r>
      <rPr>
        <b val="true"/>
        <sz val="14"/>
        <rFont val="Linux Libertine G"/>
        <family val="2"/>
      </rPr>
      <t xml:space="preserve">次、</t>
    </r>
    <r>
      <rPr>
        <b val="true"/>
        <sz val="14"/>
        <rFont val="Linux Libertine G"/>
        <family val="2"/>
        <charset val="1"/>
      </rPr>
      <t xml:space="preserve">Concept Test 9 </t>
    </r>
    <r>
      <rPr>
        <b val="true"/>
        <sz val="14"/>
        <rFont val="Linux Libertine G"/>
        <family val="2"/>
      </rPr>
      <t xml:space="preserve">次，最终组合都原样测过。</t>
    </r>
    <r>
      <rPr>
        <b val="true"/>
        <sz val="14"/>
        <rFont val="Linux Libertine G"/>
        <family val="2"/>
        <charset val="1"/>
      </rPr>
      <t xml:space="preserve">10/25 </t>
    </r>
    <r>
      <rPr>
        <b val="true"/>
        <sz val="14"/>
        <rFont val="Linux Libertine G"/>
        <family val="2"/>
      </rPr>
      <t xml:space="preserve">按文档复查后取消 </t>
    </r>
    <r>
      <rPr>
        <b val="true"/>
        <sz val="14"/>
        <rFont val="Linux Libertine G"/>
        <family val="2"/>
        <charset val="1"/>
      </rPr>
      <t xml:space="preserve">Comet</t>
    </r>
    <r>
      <rPr>
        <b val="true"/>
        <sz val="14"/>
        <rFont val="Linux Libertine G"/>
        <family val="2"/>
      </rPr>
      <t xml:space="preserve">、</t>
    </r>
    <r>
      <rPr>
        <b val="true"/>
        <sz val="14"/>
        <rFont val="Linux Libertine G"/>
        <family val="2"/>
        <charset val="1"/>
      </rPr>
      <t xml:space="preserve">Cargo </t>
    </r>
    <r>
      <rPr>
        <b val="true"/>
        <sz val="14"/>
        <rFont val="Linux Libertine G"/>
        <family val="2"/>
      </rPr>
      <t xml:space="preserve">和 </t>
    </r>
    <r>
      <rPr>
        <b val="true"/>
        <sz val="14"/>
        <rFont val="Linux Libertine G"/>
        <family val="2"/>
        <charset val="1"/>
      </rPr>
      <t xml:space="preserve">Quality </t>
    </r>
    <r>
      <rPr>
        <b val="true"/>
        <sz val="14"/>
        <rFont val="Linux Libertine G"/>
        <family val="2"/>
      </rPr>
      <t xml:space="preserve">技术，改做 </t>
    </r>
    <r>
      <rPr>
        <b val="true"/>
        <sz val="14"/>
        <rFont val="Linux Libertine G"/>
        <family val="2"/>
        <charset val="1"/>
      </rPr>
      <t xml:space="preserve">Cafav</t>
    </r>
    <r>
      <rPr>
        <b val="true"/>
        <sz val="14"/>
        <rFont val="Linux Libertine G"/>
        <family val="2"/>
      </rPr>
      <t xml:space="preserve">、</t>
    </r>
    <r>
      <rPr>
        <b val="true"/>
        <sz val="14"/>
        <rFont val="Linux Libertine G"/>
        <family val="2"/>
        <charset val="1"/>
      </rPr>
      <t xml:space="preserve">Crash </t>
    </r>
    <r>
      <rPr>
        <b val="true"/>
        <sz val="14"/>
        <rFont val="Linux Libertine G"/>
        <family val="2"/>
      </rPr>
      <t xml:space="preserve">降成本；三情景重算，</t>
    </r>
    <r>
      <rPr>
        <b val="true"/>
        <sz val="14"/>
        <rFont val="Linux Libertine G"/>
        <family val="2"/>
        <charset val="1"/>
      </rPr>
      <t xml:space="preserve">Rationale </t>
    </r>
    <r>
      <rPr>
        <b val="true"/>
        <sz val="14"/>
        <rFont val="Linux Libertine G"/>
        <family val="2"/>
      </rPr>
      <t xml:space="preserve">重写后再按 </t>
    </r>
    <r>
      <rPr>
        <b val="true"/>
        <sz val="14"/>
        <rFont val="Linux Libertine G"/>
        <family val="2"/>
        <charset val="1"/>
      </rPr>
      <t xml:space="preserve">humanizer </t>
    </r>
    <r>
      <rPr>
        <b val="true"/>
        <sz val="14"/>
        <rFont val="Linux Libertine G"/>
        <family val="2"/>
      </rPr>
      <t xml:space="preserve">规则润色</t>
    </r>
  </si>
  <si>
    <t xml:space="preserve">$29,000 / 150 / 100</t>
  </si>
  <si>
    <r>
      <rPr>
        <sz val="11"/>
        <rFont val="Linux Libertine G"/>
        <family val="2"/>
        <charset val="1"/>
      </rPr>
      <t xml:space="preserve">$27.5K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$28.5K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$29K </t>
    </r>
    <r>
      <rPr>
        <sz val="11"/>
        <rFont val="Linux Libertine G"/>
        <family val="2"/>
      </rPr>
      <t xml:space="preserve">份额都是 </t>
    </r>
    <r>
      <rPr>
        <sz val="11"/>
        <rFont val="Linux Libertine G"/>
        <family val="2"/>
        <charset val="1"/>
      </rPr>
      <t xml:space="preserve">9.1%</t>
    </r>
    <r>
      <rPr>
        <sz val="11"/>
        <rFont val="Linux Libertine G"/>
        <family val="2"/>
      </rPr>
      <t xml:space="preserve">；贡献 </t>
    </r>
    <r>
      <rPr>
        <sz val="11"/>
        <rFont val="Linux Libertine G"/>
        <family val="2"/>
        <charset val="1"/>
      </rPr>
      <t xml:space="preserve">+$2,517M</t>
    </r>
  </si>
  <si>
    <r>
      <rPr>
        <sz val="11"/>
        <rFont val="Linux Libertine G"/>
        <family val="2"/>
      </rPr>
      <t xml:space="preserve">提价信号（缺货、份额不变）；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只能测到 </t>
    </r>
    <r>
      <rPr>
        <sz val="11"/>
        <rFont val="Linux Libertine G"/>
        <family val="2"/>
        <charset val="1"/>
      </rPr>
      <t xml:space="preserve">+10%</t>
    </r>
    <r>
      <rPr>
        <sz val="11"/>
        <rFont val="Linux Libertine G"/>
        <family val="2"/>
      </rPr>
      <t xml:space="preserve">，上限没测出</t>
    </r>
  </si>
  <si>
    <t xml:space="preserve">$27,000 / 100 / 40</t>
  </si>
  <si>
    <r>
      <rPr>
        <sz val="11"/>
        <rFont val="Linux Libertine G"/>
        <family val="2"/>
        <charset val="1"/>
      </rPr>
      <t xml:space="preserve">$26.5K 4.4%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$27K 4.3%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$27.5K 4.1%</t>
    </r>
    <r>
      <rPr>
        <sz val="11"/>
        <rFont val="Linux Libertine G"/>
        <family val="2"/>
      </rPr>
      <t xml:space="preserve">；贡献 </t>
    </r>
    <r>
      <rPr>
        <sz val="11"/>
        <rFont val="Linux Libertine G"/>
        <family val="2"/>
        <charset val="1"/>
      </rPr>
      <t xml:space="preserve">+$547M</t>
    </r>
  </si>
  <si>
    <t xml:space="preserve">取中间价</t>
  </si>
  <si>
    <t xml:space="preserve">$39,000 / 300 / 120</t>
  </si>
  <si>
    <r>
      <rPr>
        <sz val="11"/>
        <rFont val="Linux Libertine G"/>
        <family val="2"/>
        <charset val="1"/>
      </rPr>
      <t xml:space="preserve">$37K 5.8%</t>
    </r>
    <r>
      <rPr>
        <sz val="11"/>
        <rFont val="Linux Libertine G"/>
        <family val="2"/>
      </rPr>
      <t xml:space="preserve">（−</t>
    </r>
    <r>
      <rPr>
        <sz val="11"/>
        <rFont val="Linux Libertine G"/>
        <family val="2"/>
        <charset val="1"/>
      </rPr>
      <t xml:space="preserve">$563M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$41K 3.6%</t>
    </r>
    <r>
      <rPr>
        <sz val="11"/>
        <rFont val="Linux Libertine G"/>
        <family val="2"/>
      </rPr>
      <t xml:space="preserve">（−</t>
    </r>
    <r>
      <rPr>
        <sz val="11"/>
        <rFont val="Linux Libertine G"/>
        <family val="2"/>
        <charset val="1"/>
      </rPr>
      <t xml:space="preserve">$3,222M</t>
    </r>
    <r>
      <rPr>
        <sz val="11"/>
        <rFont val="Linux Libertine G"/>
        <family val="2"/>
      </rPr>
      <t xml:space="preserve">）；广告 </t>
    </r>
    <r>
      <rPr>
        <sz val="11"/>
        <rFont val="Linux Libertine G"/>
        <family val="2"/>
        <charset val="1"/>
      </rPr>
      <t xml:space="preserve">300 / 120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6.4%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+$1,740M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</si>
  <si>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唯一测出价格上限的车：不提价、加广告（知名度只有 </t>
    </r>
    <r>
      <rPr>
        <sz val="11"/>
        <rFont val="Linux Libertine G"/>
        <family val="2"/>
        <charset val="1"/>
      </rPr>
      <t xml:space="preserve">22.3%</t>
    </r>
    <r>
      <rPr>
        <sz val="11"/>
        <rFont val="Linux Libertine G"/>
        <family val="2"/>
      </rPr>
      <t xml:space="preserve">）</t>
    </r>
  </si>
  <si>
    <t xml:space="preserve">Cosmo</t>
  </si>
  <si>
    <t xml:space="preserve">$40,000 / 200 / 60</t>
  </si>
  <si>
    <r>
      <rPr>
        <sz val="11"/>
        <rFont val="Linux Libertine G"/>
        <family val="2"/>
        <charset val="1"/>
      </rPr>
      <t xml:space="preserve">Concept Test</t>
    </r>
    <r>
      <rPr>
        <sz val="11"/>
        <rFont val="Linux Libertine G"/>
        <family val="2"/>
      </rPr>
      <t xml:space="preserve">（原样）</t>
    </r>
  </si>
  <si>
    <r>
      <rPr>
        <sz val="11"/>
        <rFont val="Linux Libertine G"/>
        <family val="2"/>
        <charset val="1"/>
      </rPr>
      <t xml:space="preserve">4F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I4 / Sf5 $36K 43.8%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I5 / Sf6 $36K 52.1%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$38K 46.7%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$40K 44.1%</t>
    </r>
    <r>
      <rPr>
        <sz val="11"/>
        <rFont val="Linux Libertine G"/>
        <family val="2"/>
      </rPr>
      <t xml:space="preserve">（价格 </t>
    </r>
    <r>
      <rPr>
        <sz val="11"/>
        <rFont val="Linux Libertine G"/>
        <family val="2"/>
        <charset val="1"/>
      </rPr>
      <t xml:space="preserve">poor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</si>
  <si>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加 </t>
    </r>
    <r>
      <rPr>
        <sz val="11"/>
        <rFont val="Linux Libertine G"/>
        <family val="2"/>
        <charset val="1"/>
      </rPr>
      <t xml:space="preserve">Interior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Safety</t>
    </r>
    <r>
      <rPr>
        <sz val="11"/>
        <rFont val="Linux Libertine G"/>
        <family val="2"/>
      </rPr>
      <t xml:space="preserve">；按每个买家的贡献：</t>
    </r>
    <r>
      <rPr>
        <sz val="11"/>
        <rFont val="Linux Libertine G"/>
        <family val="2"/>
        <charset val="1"/>
      </rPr>
      <t xml:space="preserve">$40K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$14,249 × 44.1% = $6,284</t>
    </r>
    <r>
      <rPr>
        <sz val="11"/>
        <rFont val="Linux Libertine G"/>
        <family val="2"/>
      </rPr>
      <t xml:space="preserve">）</t>
    </r>
    <r>
      <rPr>
        <sz val="11"/>
        <rFont val="Linux Libertine G"/>
        <family val="2"/>
        <charset val="1"/>
      </rPr>
      <t xml:space="preserve">&gt; $38K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$12,489 × 46.7% = $5,832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用最后一次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后提到 </t>
    </r>
    <r>
      <rPr>
        <sz val="11"/>
        <rFont val="Linux Libertine G"/>
        <family val="2"/>
        <charset val="1"/>
      </rPr>
      <t xml:space="preserve">$40K</t>
    </r>
  </si>
  <si>
    <r>
      <rPr>
        <sz val="11"/>
        <rFont val="Linux Libertine G"/>
        <family val="2"/>
        <charset val="1"/>
      </rPr>
      <t xml:space="preserve">Cameo</t>
    </r>
    <r>
      <rPr>
        <sz val="11"/>
        <rFont val="Linux Libertine G"/>
        <family val="2"/>
      </rPr>
      <t xml:space="preserve">（新版）</t>
    </r>
  </si>
  <si>
    <t xml:space="preserve">$16,500 / 50 / 25</t>
  </si>
  <si>
    <r>
      <rPr>
        <sz val="11"/>
        <rFont val="Linux Libertine G"/>
        <family val="2"/>
        <charset val="1"/>
      </rPr>
      <t xml:space="preserve">2E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Sf3 / Q3 $16K 36.8%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Sf4 / Q4 $16K 46.3%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$16.5K 43.2%</t>
    </r>
  </si>
  <si>
    <r>
      <rPr>
        <sz val="11"/>
        <rFont val="Linux Libertine G"/>
        <family val="2"/>
      </rPr>
      <t xml:space="preserve">加 </t>
    </r>
    <r>
      <rPr>
        <sz val="11"/>
        <rFont val="Linux Libertine G"/>
        <family val="2"/>
        <charset val="1"/>
      </rPr>
      <t xml:space="preserve">Safety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Quality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2E </t>
    </r>
    <r>
      <rPr>
        <sz val="11"/>
        <rFont val="Linux Libertine G"/>
        <family val="2"/>
      </rPr>
      <t xml:space="preserve">对价格敏感，只提 </t>
    </r>
    <r>
      <rPr>
        <sz val="11"/>
        <rFont val="Linux Libertine G"/>
        <family val="2"/>
        <charset val="1"/>
      </rPr>
      <t xml:space="preserve">$500</t>
    </r>
  </si>
  <si>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（新车，</t>
    </r>
    <r>
      <rPr>
        <sz val="11"/>
        <rFont val="Linux Libertine G"/>
        <family val="2"/>
        <charset val="1"/>
      </rPr>
      <t xml:space="preserve">Y5</t>
    </r>
    <r>
      <rPr>
        <sz val="11"/>
        <rFont val="Linux Libertine G"/>
        <family val="2"/>
      </rPr>
      <t xml:space="preserve">）</t>
    </r>
  </si>
  <si>
    <t xml:space="preserve">Concept Test</t>
  </si>
  <si>
    <r>
      <rPr>
        <sz val="11"/>
        <rFont val="Linux Libertine G"/>
        <family val="2"/>
        <charset val="1"/>
      </rPr>
      <t xml:space="preserve">3U $26K 61.4%</t>
    </r>
    <r>
      <rPr>
        <sz val="11"/>
        <rFont val="Linux Libertine G"/>
        <family val="2"/>
      </rPr>
      <t xml:space="preserve">，属性除价格外全 </t>
    </r>
    <r>
      <rPr>
        <sz val="11"/>
        <rFont val="Linux Libertine G"/>
        <family val="2"/>
        <charset val="1"/>
      </rPr>
      <t xml:space="preserve">best</t>
    </r>
  </si>
  <si>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复查：取消。</t>
    </r>
    <r>
      <rPr>
        <sz val="11"/>
        <rFont val="Linux Libertine G"/>
        <family val="2"/>
        <charset val="1"/>
      </rPr>
      <t xml:space="preserve">3U </t>
    </r>
    <r>
      <rPr>
        <sz val="11"/>
        <rFont val="Linux Libertine G"/>
        <family val="2"/>
      </rPr>
      <t xml:space="preserve">价格上限 </t>
    </r>
    <r>
      <rPr>
        <sz val="11"/>
        <rFont val="Linux Libertine G"/>
        <family val="2"/>
        <charset val="1"/>
      </rPr>
      <t xml:space="preserve">$26K</t>
    </r>
    <r>
      <rPr>
        <sz val="11"/>
        <rFont val="Linux Libertine G"/>
        <family val="2"/>
      </rPr>
      <t xml:space="preserve">（已顶格，价格 </t>
    </r>
    <r>
      <rPr>
        <sz val="11"/>
        <rFont val="Linux Libertine G"/>
        <family val="2"/>
        <charset val="1"/>
      </rPr>
      <t xml:space="preserve">worst</t>
    </r>
    <r>
      <rPr>
        <sz val="11"/>
        <rFont val="Linux Libertine G"/>
        <family val="2"/>
      </rPr>
      <t xml:space="preserve">），扣 </t>
    </r>
    <r>
      <rPr>
        <sz val="11"/>
        <rFont val="Linux Libertine G"/>
        <family val="2"/>
        <charset val="1"/>
      </rPr>
      <t xml:space="preserve">12% </t>
    </r>
    <r>
      <rPr>
        <sz val="11"/>
        <rFont val="Linux Libertine G"/>
        <family val="2"/>
      </rPr>
      <t xml:space="preserve">折扣净收 </t>
    </r>
    <r>
      <rPr>
        <sz val="11"/>
        <rFont val="Linux Libertine G"/>
        <family val="2"/>
        <charset val="1"/>
      </rPr>
      <t xml:space="preserve">$22,880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Base Cost $22,055</t>
    </r>
    <r>
      <rPr>
        <sz val="11"/>
        <rFont val="Linux Libertine G"/>
        <family val="2"/>
      </rPr>
      <t xml:space="preserve">；和 ❌</t>
    </r>
    <r>
      <rPr>
        <sz val="11"/>
        <rFont val="Linux Libertine G"/>
        <family val="2"/>
        <charset val="1"/>
      </rPr>
      <t xml:space="preserve">#15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补充测试冲突</t>
    </r>
  </si>
  <si>
    <r>
      <rPr>
        <sz val="11"/>
        <rFont val="Linux Libertine G"/>
        <family val="2"/>
        <charset val="1"/>
      </rPr>
      <t xml:space="preserve">Cargo</t>
    </r>
    <r>
      <rPr>
        <sz val="11"/>
        <rFont val="Linux Libertine G"/>
        <family val="2"/>
      </rPr>
      <t xml:space="preserve">（新车，</t>
    </r>
    <r>
      <rPr>
        <sz val="11"/>
        <rFont val="Linux Libertine G"/>
        <family val="2"/>
        <charset val="1"/>
      </rPr>
      <t xml:space="preserve">Y5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</si>
  <si>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1T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Cargo 88 / 270 $25K 43.7%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Crash major 78 / 215 </t>
    </r>
    <r>
      <rPr>
        <sz val="11"/>
        <rFont val="Linux Libertine G"/>
        <family val="2"/>
      </rPr>
      <t xml:space="preserve">只有 </t>
    </r>
    <r>
      <rPr>
        <sz val="11"/>
        <rFont val="Linux Libertine G"/>
        <family val="2"/>
        <charset val="1"/>
      </rPr>
      <t xml:space="preserve">18.0%</t>
    </r>
  </si>
  <si>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复查：取消。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价格敏感度 </t>
    </r>
    <r>
      <rPr>
        <sz val="11"/>
        <rFont val="Linux Libertine G"/>
        <family val="2"/>
        <charset val="1"/>
      </rPr>
      <t xml:space="preserve">High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占 </t>
    </r>
    <r>
      <rPr>
        <sz val="11"/>
        <rFont val="Linux Libertine G"/>
        <family val="2"/>
        <charset val="1"/>
      </rPr>
      <t xml:space="preserve">16.1%</t>
    </r>
    <r>
      <rPr>
        <sz val="11"/>
        <rFont val="Linux Libertine G"/>
        <family val="2"/>
      </rPr>
      <t xml:space="preserve">（约 </t>
    </r>
    <r>
      <rPr>
        <sz val="11"/>
        <rFont val="Linux Libertine G"/>
        <family val="2"/>
        <charset val="1"/>
      </rPr>
      <t xml:space="preserve">184K </t>
    </r>
    <r>
      <rPr>
        <sz val="11"/>
        <rFont val="Linux Libertine G"/>
        <family val="2"/>
      </rPr>
      <t xml:space="preserve">辆，单车 </t>
    </r>
    <r>
      <rPr>
        <sz val="11"/>
        <rFont val="Linux Libertine G"/>
        <family val="2"/>
        <charset val="1"/>
      </rPr>
      <t xml:space="preserve">$9,912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Cargo </t>
    </r>
    <r>
      <rPr>
        <sz val="11"/>
        <rFont val="Linux Libertine G"/>
        <family val="2"/>
      </rPr>
      <t xml:space="preserve">会抢自己；尺寸 </t>
    </r>
    <r>
      <rPr>
        <sz val="11"/>
        <rFont val="Linux Libertine G"/>
        <family val="2"/>
        <charset val="1"/>
      </rPr>
      <t xml:space="preserve">90 </t>
    </r>
    <r>
      <rPr>
        <sz val="11"/>
        <rFont val="Linux Libertine G"/>
        <family val="2"/>
      </rPr>
      <t xml:space="preserve">练习轮被评 </t>
    </r>
    <r>
      <rPr>
        <sz val="11"/>
        <rFont val="Linux Libertine G"/>
        <family val="2"/>
        <charset val="1"/>
      </rPr>
      <t xml:space="preserve">small</t>
    </r>
  </si>
  <si>
    <r>
      <rPr>
        <sz val="11"/>
        <rFont val="Linux Libertine G"/>
        <family val="2"/>
      </rPr>
      <t xml:space="preserve">最终版（含 </t>
    </r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）：乐观约 </t>
    </r>
    <r>
      <rPr>
        <sz val="11"/>
        <rFont val="Linux Libertine G"/>
        <family val="2"/>
        <charset val="1"/>
      </rPr>
      <t xml:space="preserve">$16.6B</t>
    </r>
    <r>
      <rPr>
        <sz val="11"/>
        <rFont val="Linux Libertine G"/>
        <family val="2"/>
      </rPr>
      <t xml:space="preserve">；基准 </t>
    </r>
    <r>
      <rPr>
        <sz val="11"/>
        <rFont val="Linux Libertine G"/>
        <family val="2"/>
        <charset val="1"/>
      </rPr>
      <t xml:space="preserve">$15,262M</t>
    </r>
    <r>
      <rPr>
        <sz val="11"/>
        <rFont val="Linux Libertine G"/>
        <family val="2"/>
      </rPr>
      <t xml:space="preserve">；保守 </t>
    </r>
    <r>
      <rPr>
        <sz val="11"/>
        <rFont val="Linux Libertine G"/>
        <family val="2"/>
        <charset val="1"/>
      </rPr>
      <t xml:space="preserve">90%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$13.2B</t>
    </r>
    <r>
      <rPr>
        <sz val="11"/>
        <rFont val="Linux Libertine G"/>
        <family val="2"/>
      </rPr>
      <t xml:space="preserve">（现金约 </t>
    </r>
    <r>
      <rPr>
        <sz val="11"/>
        <rFont val="Linux Libertine G"/>
        <family val="2"/>
        <charset val="1"/>
      </rPr>
      <t xml:space="preserve">$3.4B</t>
    </r>
    <r>
      <rPr>
        <sz val="11"/>
        <rFont val="Linux Libertine G"/>
        <family val="2"/>
      </rPr>
      <t xml:space="preserve">）；很差 </t>
    </r>
    <r>
      <rPr>
        <sz val="11"/>
        <rFont val="Linux Libertine G"/>
        <family val="2"/>
        <charset val="1"/>
      </rPr>
      <t xml:space="preserve">80%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$11.2B</t>
    </r>
    <r>
      <rPr>
        <sz val="11"/>
        <rFont val="Linux Libertine G"/>
        <family val="2"/>
      </rPr>
      <t xml:space="preserve">（现金约 −</t>
    </r>
    <r>
      <rPr>
        <sz val="11"/>
        <rFont val="Linux Libertine G"/>
        <family val="2"/>
        <charset val="1"/>
      </rPr>
      <t xml:space="preserve">$3.3B</t>
    </r>
    <r>
      <rPr>
        <sz val="11"/>
        <rFont val="Linux Libertine G"/>
        <family val="2"/>
      </rPr>
      <t xml:space="preserve">，会借短贷）。之前几版的基准：</t>
    </r>
    <r>
      <rPr>
        <sz val="11"/>
        <rFont val="Linux Libertine G"/>
        <family val="2"/>
        <charset val="1"/>
      </rPr>
      <t xml:space="preserve">$13,474M → $14,440M → $15,502M</t>
    </r>
  </si>
  <si>
    <r>
      <rPr>
        <sz val="11"/>
        <rFont val="Linux Libertine G"/>
        <family val="2"/>
      </rPr>
      <t xml:space="preserve">都赚钱，风险可接受；买 </t>
    </r>
    <r>
      <rPr>
        <sz val="11"/>
        <rFont val="Linux Libertine G"/>
        <family val="2"/>
        <charset val="1"/>
      </rPr>
      <t xml:space="preserve">$10B CD</t>
    </r>
  </si>
  <si>
    <r>
      <rPr>
        <sz val="11"/>
        <rFont val="Linux Libertine G"/>
        <family val="2"/>
      </rPr>
      <t xml:space="preserve">降成本（中心 </t>
    </r>
    <r>
      <rPr>
        <sz val="11"/>
        <rFont val="Linux Libertine G"/>
        <family val="2"/>
        <charset val="1"/>
      </rPr>
      <t xml:space="preserve">1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3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</si>
  <si>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研发页面 </t>
    </r>
    <r>
      <rPr>
        <sz val="11"/>
        <rFont val="Linux Libertine G"/>
        <family val="2"/>
        <charset val="1"/>
      </rPr>
      <t xml:space="preserve">+ Pro-Forma + Focus Group</t>
    </r>
  </si>
  <si>
    <r>
      <rPr>
        <sz val="11"/>
        <rFont val="Linux Libertine G"/>
        <family val="2"/>
        <charset val="1"/>
      </rPr>
      <t xml:space="preserve">Canyon $20,447 → $20,134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$15,186 → $14,887</t>
    </r>
    <r>
      <rPr>
        <sz val="11"/>
        <rFont val="Linux Libertine G"/>
        <family val="2"/>
      </rPr>
      <t xml:space="preserve">，各 </t>
    </r>
    <r>
      <rPr>
        <sz val="11"/>
        <rFont val="Linux Libertine G"/>
        <family val="2"/>
        <charset val="1"/>
      </rPr>
      <t xml:space="preserve">$192M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的降成本（</t>
    </r>
    <r>
      <rPr>
        <sz val="11"/>
        <rFont val="Linux Libertine G"/>
        <family val="2"/>
        <charset val="1"/>
      </rPr>
      <t xml:space="preserve">$13,790 → $13,556</t>
    </r>
    <r>
      <rPr>
        <sz val="11"/>
        <rFont val="Linux Libertine G"/>
        <family val="2"/>
      </rPr>
      <t xml:space="preserve">）</t>
    </r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晚换成 </t>
    </r>
    <r>
      <rPr>
        <sz val="11"/>
        <rFont val="Linux Libertine G"/>
        <family val="2"/>
        <charset val="1"/>
      </rPr>
      <t xml:space="preserve">Chow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</si>
  <si>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2F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3T </t>
    </r>
    <r>
      <rPr>
        <sz val="11"/>
        <rFont val="Linux Libertine G"/>
        <family val="2"/>
      </rPr>
      <t xml:space="preserve">除价格外全 </t>
    </r>
    <r>
      <rPr>
        <sz val="11"/>
        <rFont val="Linux Libertine G"/>
        <family val="2"/>
        <charset val="1"/>
      </rPr>
      <t xml:space="preserve">best</t>
    </r>
    <r>
      <rPr>
        <sz val="11"/>
        <rFont val="Linux Libertine G"/>
        <family val="2"/>
      </rPr>
      <t xml:space="preserve">，升级加不了份额；不违反 ❌</t>
    </r>
    <r>
      <rPr>
        <sz val="11"/>
        <rFont val="Linux Libertine G"/>
        <family val="2"/>
        <charset val="1"/>
      </rPr>
      <t xml:space="preserve">#7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#7 </t>
    </r>
    <r>
      <rPr>
        <sz val="11"/>
        <rFont val="Linux Libertine G"/>
        <family val="2"/>
      </rPr>
      <t xml:space="preserve">是属性全被评 </t>
    </r>
    <r>
      <rPr>
        <sz val="11"/>
        <rFont val="Linux Libertine G"/>
        <family val="2"/>
        <charset val="1"/>
      </rPr>
      <t xml:space="preserve">worst </t>
    </r>
    <r>
      <rPr>
        <sz val="11"/>
        <rFont val="Linux Libertine G"/>
        <family val="2"/>
      </rPr>
      <t xml:space="preserve">时还去降成本）</t>
    </r>
  </si>
  <si>
    <r>
      <rPr>
        <sz val="11"/>
        <rFont val="Linux Libertine G"/>
        <family val="2"/>
      </rPr>
      <t xml:space="preserve">排产（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</si>
  <si>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1,150K / 520K</t>
    </r>
    <r>
      <rPr>
        <sz val="11"/>
        <rFont val="Linux Libertine G"/>
        <family val="2"/>
      </rPr>
      <t xml:space="preserve">（原 </t>
    </r>
    <r>
      <rPr>
        <sz val="11"/>
        <rFont val="Linux Libertine G"/>
        <family val="2"/>
        <charset val="1"/>
      </rPr>
      <t xml:space="preserve">1,050K / 480K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</si>
  <si>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实际缺货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老师 </t>
    </r>
    <r>
      <rPr>
        <sz val="11"/>
        <rFont val="Linux Libertine G"/>
        <family val="2"/>
        <charset val="1"/>
      </rPr>
      <t xml:space="preserve">C2 </t>
    </r>
    <r>
      <rPr>
        <sz val="11"/>
        <rFont val="Linux Libertine G"/>
        <family val="2"/>
      </rPr>
      <t xml:space="preserve">视频 </t>
    </r>
    <r>
      <rPr>
        <sz val="11"/>
        <rFont val="Linux Libertine G"/>
        <family val="2"/>
        <charset val="1"/>
      </rPr>
      <t xml:space="preserve">+ Pro-Forma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</si>
  <si>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三款老车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加满仍缺货 </t>
    </r>
    <r>
      <rPr>
        <sz val="11"/>
        <rFont val="Linux Libertine G"/>
        <family val="2"/>
        <charset val="1"/>
      </rPr>
      <t xml:space="preserve">10–30%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份额就是被产量卡住的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份额；</t>
    </r>
    <r>
      <rPr>
        <sz val="11"/>
        <rFont val="Linux Libertine G"/>
        <family val="2"/>
        <charset val="1"/>
      </rPr>
      <t xml:space="preserve">retooling </t>
    </r>
    <r>
      <rPr>
        <sz val="11"/>
        <rFont val="Linux Libertine G"/>
        <family val="2"/>
      </rPr>
      <t xml:space="preserve">多 </t>
    </r>
    <r>
      <rPr>
        <sz val="11"/>
        <rFont val="Linux Libertine G"/>
        <family val="2"/>
        <charset val="1"/>
      </rPr>
      <t xml:space="preserve">$220M</t>
    </r>
    <r>
      <rPr>
        <sz val="11"/>
        <rFont val="Linux Libertine G"/>
        <family val="2"/>
      </rPr>
      <t xml:space="preserve">；净利 </t>
    </r>
    <r>
      <rPr>
        <sz val="11"/>
        <rFont val="Linux Libertine G"/>
        <family val="2"/>
        <charset val="1"/>
      </rPr>
      <t xml:space="preserve">$14,440M → $15,502M</t>
    </r>
  </si>
  <si>
    <r>
      <rPr>
        <sz val="11"/>
        <rFont val="Linux Libertine G"/>
        <family val="2"/>
      </rPr>
      <t xml:space="preserve">缺货就是没赚到的钱，空余产能直接多排；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不加（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今年上市）</t>
    </r>
  </si>
  <si>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（跑车，</t>
    </r>
    <r>
      <rPr>
        <sz val="11"/>
        <rFont val="Linux Libertine G"/>
        <family val="2"/>
        <charset val="1"/>
      </rPr>
      <t xml:space="preserve">Y6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</si>
  <si>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$34K</t>
    </r>
    <r>
      <rPr>
        <sz val="11"/>
        <rFont val="Linux Libertine G"/>
        <family val="2"/>
      </rPr>
      <t xml:space="preserve">（计划）</t>
    </r>
  </si>
  <si>
    <r>
      <rPr>
        <sz val="11"/>
        <rFont val="Linux Libertine G"/>
        <family val="2"/>
        <charset val="1"/>
      </rPr>
      <t xml:space="preserve">pricing + startup-financial-modeling</t>
    </r>
    <r>
      <rPr>
        <sz val="11"/>
        <rFont val="Linux Libertine G"/>
        <family val="2"/>
      </rPr>
      <t xml:space="preserve">（重新调用）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研发页面概念车</t>
    </r>
  </si>
  <si>
    <r>
      <rPr>
        <sz val="11"/>
        <rFont val="Linux Libertine G"/>
        <family val="2"/>
        <charset val="1"/>
      </rPr>
      <t xml:space="preserve">3S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540K</t>
    </r>
    <r>
      <rPr>
        <sz val="11"/>
        <rFont val="Linux Libertine G"/>
        <family val="2"/>
      </rPr>
      <t xml:space="preserve">、想要 </t>
    </r>
    <r>
      <rPr>
        <sz val="11"/>
        <rFont val="Linux Libertine G"/>
        <family val="2"/>
        <charset val="1"/>
      </rPr>
      <t xml:space="preserve">Sports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$24–36K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Base Cost $22,341</t>
    </r>
    <r>
      <rPr>
        <sz val="11"/>
        <rFont val="Linux Libertine G"/>
        <family val="2"/>
      </rPr>
      <t xml:space="preserve">、开发 </t>
    </r>
    <r>
      <rPr>
        <sz val="11"/>
        <rFont val="Linux Libertine G"/>
        <family val="2"/>
        <charset val="1"/>
      </rPr>
      <t xml:space="preserve">$1,318M</t>
    </r>
    <r>
      <rPr>
        <sz val="11"/>
        <rFont val="Linux Libertine G"/>
        <family val="2"/>
      </rPr>
      <t xml:space="preserve">；每辆约 </t>
    </r>
    <r>
      <rPr>
        <sz val="11"/>
        <rFont val="Linux Libertine G"/>
        <family val="2"/>
        <charset val="1"/>
      </rPr>
      <t xml:space="preserve">$7,600</t>
    </r>
    <r>
      <rPr>
        <sz val="11"/>
        <rFont val="Linux Libertine G"/>
        <family val="2"/>
      </rPr>
      <t xml:space="preserve">。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税后：保守约 −</t>
    </r>
    <r>
      <rPr>
        <sz val="11"/>
        <rFont val="Linux Libertine G"/>
        <family val="2"/>
        <charset val="1"/>
      </rPr>
      <t xml:space="preserve">$0.8B</t>
    </r>
    <r>
      <rPr>
        <sz val="11"/>
        <rFont val="Linux Libertine G"/>
        <family val="2"/>
      </rPr>
      <t xml:space="preserve">、基准约 −</t>
    </r>
    <r>
      <rPr>
        <sz val="11"/>
        <rFont val="Linux Libertine G"/>
        <family val="2"/>
        <charset val="1"/>
      </rPr>
      <t xml:space="preserve">$0.3B</t>
    </r>
    <r>
      <rPr>
        <sz val="11"/>
        <rFont val="Linux Libertine G"/>
        <family val="2"/>
      </rPr>
      <t xml:space="preserve">、乐观约打平。</t>
    </r>
    <r>
      <rPr>
        <sz val="11"/>
        <rFont val="Linux Libertine G"/>
        <family val="2"/>
        <charset val="1"/>
      </rPr>
      <t xml:space="preserve">4S </t>
    </r>
    <r>
      <rPr>
        <sz val="11"/>
        <rFont val="Linux Libertine G"/>
        <family val="2"/>
      </rPr>
      <t xml:space="preserve">超跑（</t>
    </r>
    <r>
      <rPr>
        <sz val="11"/>
        <rFont val="Linux Libertine G"/>
        <family val="2"/>
        <charset val="1"/>
      </rPr>
      <t xml:space="preserve">$25,208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$1,472M</t>
    </r>
    <r>
      <rPr>
        <sz val="11"/>
        <rFont val="Linux Libertine G"/>
        <family val="2"/>
      </rPr>
      <t xml:space="preserve">）基准约 −</t>
    </r>
    <r>
      <rPr>
        <sz val="11"/>
        <rFont val="Linux Libertine G"/>
        <family val="2"/>
        <charset val="1"/>
      </rPr>
      <t xml:space="preserve">$0.55B</t>
    </r>
  </si>
  <si>
    <r>
      <rPr>
        <sz val="11"/>
        <rFont val="Linux Libertine G"/>
        <family val="2"/>
      </rPr>
      <t xml:space="preserve">只看净利小亏，赌市值（产品组合）和 </t>
    </r>
    <r>
      <rPr>
        <sz val="11"/>
        <rFont val="Linux Libertine G"/>
        <family val="2"/>
        <charset val="1"/>
      </rPr>
      <t xml:space="preserve">BoD </t>
    </r>
    <r>
      <rPr>
        <sz val="11"/>
        <rFont val="Linux Libertine G"/>
        <family val="2"/>
      </rPr>
      <t xml:space="preserve">故事；</t>
    </r>
    <r>
      <rPr>
        <sz val="11"/>
        <rFont val="Linux Libertine G"/>
        <family val="2"/>
        <charset val="1"/>
      </rPr>
      <t xml:space="preserve">D5 </t>
    </r>
    <r>
      <rPr>
        <sz val="11"/>
        <rFont val="Linux Libertine G"/>
        <family val="2"/>
      </rPr>
      <t xml:space="preserve">用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测，数字不好就砍，最多亏约 </t>
    </r>
    <r>
      <rPr>
        <sz val="11"/>
        <rFont val="Linux Libertine G"/>
        <family val="2"/>
        <charset val="1"/>
      </rPr>
      <t xml:space="preserve">$0.24B</t>
    </r>
  </si>
  <si>
    <r>
      <rPr>
        <b val="true"/>
        <sz val="14"/>
        <rFont val="Linux Libertine G"/>
        <family val="2"/>
      </rPr>
      <t xml:space="preserve">正式 </t>
    </r>
    <r>
      <rPr>
        <b val="true"/>
        <sz val="14"/>
        <rFont val="Linux Libertine G"/>
        <family val="2"/>
        <charset val="1"/>
      </rPr>
      <t xml:space="preserve">Y5</t>
    </r>
    <r>
      <rPr>
        <b val="true"/>
        <sz val="14"/>
        <rFont val="Linux Libertine G"/>
        <family val="2"/>
      </rPr>
      <t xml:space="preserve">：</t>
    </r>
    <r>
      <rPr>
        <b val="true"/>
        <sz val="14"/>
        <rFont val="Linux Libertine G"/>
        <family val="2"/>
        <charset val="1"/>
      </rPr>
      <t xml:space="preserve">skill </t>
    </r>
    <r>
      <rPr>
        <b val="true"/>
        <sz val="14"/>
        <rFont val="Linux Libertine G"/>
        <family val="2"/>
      </rPr>
      <t xml:space="preserve">都用过（</t>
    </r>
    <r>
      <rPr>
        <b val="true"/>
        <sz val="14"/>
        <rFont val="Linux Libertine G"/>
        <family val="2"/>
        <charset val="1"/>
      </rPr>
      <t xml:space="preserve">pricing</t>
    </r>
    <r>
      <rPr>
        <b val="true"/>
        <sz val="14"/>
        <rFont val="Linux Libertine G"/>
        <family val="2"/>
      </rPr>
      <t xml:space="preserve">、</t>
    </r>
    <r>
      <rPr>
        <b val="true"/>
        <sz val="14"/>
        <rFont val="Linux Libertine G"/>
        <family val="2"/>
        <charset val="1"/>
      </rPr>
      <t xml:space="preserve">startup-financial-modeling </t>
    </r>
    <r>
      <rPr>
        <b val="true"/>
        <sz val="14"/>
        <rFont val="Linux Libertine G"/>
        <family val="2"/>
      </rPr>
      <t xml:space="preserve">在 </t>
    </r>
    <r>
      <rPr>
        <b val="true"/>
        <sz val="14"/>
        <rFont val="Linux Libertine G"/>
        <family val="2"/>
        <charset val="1"/>
      </rPr>
      <t xml:space="preserve">10/25 </t>
    </r>
    <r>
      <rPr>
        <b val="true"/>
        <sz val="14"/>
        <rFont val="Linux Libertine G"/>
        <family val="2"/>
      </rPr>
      <t xml:space="preserve">为 </t>
    </r>
    <r>
      <rPr>
        <b val="true"/>
        <sz val="14"/>
        <rFont val="Linux Libertine G"/>
        <family val="2"/>
        <charset val="1"/>
      </rPr>
      <t xml:space="preserve">Chow </t>
    </r>
    <r>
      <rPr>
        <b val="true"/>
        <sz val="14"/>
        <rFont val="Linux Libertine G"/>
        <family val="2"/>
      </rPr>
      <t xml:space="preserve">重新调用后照同样方法复查，</t>
    </r>
    <r>
      <rPr>
        <b val="true"/>
        <sz val="14"/>
        <rFont val="Linux Libertine G"/>
        <family val="2"/>
        <charset val="1"/>
      </rPr>
      <t xml:space="preserve">humanizer 10/27 </t>
    </r>
    <r>
      <rPr>
        <b val="true"/>
        <sz val="14"/>
        <rFont val="Linux Libertine G"/>
        <family val="2"/>
      </rPr>
      <t xml:space="preserve">重新调用）；</t>
    </r>
    <r>
      <rPr>
        <b val="true"/>
        <sz val="14"/>
        <rFont val="Linux Libertine G"/>
        <family val="2"/>
        <charset val="1"/>
      </rPr>
      <t xml:space="preserve">Concept Test 10 </t>
    </r>
    <r>
      <rPr>
        <b val="true"/>
        <sz val="14"/>
        <rFont val="Linux Libertine G"/>
        <family val="2"/>
      </rPr>
      <t xml:space="preserve">次、</t>
    </r>
    <r>
      <rPr>
        <b val="true"/>
        <sz val="14"/>
        <rFont val="Linux Libertine G"/>
        <family val="2"/>
        <charset val="1"/>
      </rPr>
      <t xml:space="preserve">Test Market 10 </t>
    </r>
    <r>
      <rPr>
        <b val="true"/>
        <sz val="14"/>
        <rFont val="Linux Libertine G"/>
        <family val="2"/>
      </rPr>
      <t xml:space="preserve">次，最终组合都原样测过</t>
    </r>
  </si>
  <si>
    <t xml:space="preserve">$30,000 / 150 / 100</t>
  </si>
  <si>
    <r>
      <rPr>
        <sz val="11"/>
        <rFont val="Linux Libertine G"/>
        <family val="2"/>
        <charset val="1"/>
      </rPr>
      <t xml:space="preserve">Test Market</t>
    </r>
    <r>
      <rPr>
        <sz val="11"/>
        <rFont val="Linux Libertine G"/>
        <family val="2"/>
      </rPr>
      <t xml:space="preserve">（升级前的车）</t>
    </r>
    <r>
      <rPr>
        <sz val="11"/>
        <rFont val="Linux Libertine G"/>
        <family val="2"/>
        <charset val="1"/>
      </rPr>
      <t xml:space="preserve">+ Concept Test</t>
    </r>
    <r>
      <rPr>
        <sz val="11"/>
        <rFont val="Linux Libertine G"/>
        <family val="2"/>
      </rPr>
      <t xml:space="preserve">（升级版）</t>
    </r>
  </si>
  <si>
    <r>
      <rPr>
        <sz val="11"/>
        <rFont val="Linux Libertine G"/>
        <family val="2"/>
        <charset val="1"/>
      </rPr>
      <t xml:space="preserve">TM $30K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9.1% → 8.6%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+$68M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CT </t>
    </r>
    <r>
      <rPr>
        <sz val="11"/>
        <rFont val="Linux Libertine G"/>
        <family val="2"/>
      </rPr>
      <t xml:space="preserve">升级版 </t>
    </r>
    <r>
      <rPr>
        <sz val="11"/>
        <rFont val="Linux Libertine G"/>
        <family val="2"/>
        <charset val="1"/>
      </rPr>
      <t xml:space="preserve">2F $29K 6.2%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$31K 4.2%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Safety best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Quality avg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</si>
  <si>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2F </t>
    </r>
    <r>
      <rPr>
        <sz val="11"/>
        <rFont val="Linux Libertine G"/>
        <family val="2"/>
      </rPr>
      <t xml:space="preserve">价格敏感度高、区间 </t>
    </r>
    <r>
      <rPr>
        <sz val="11"/>
        <rFont val="Linux Libertine G"/>
        <family val="2"/>
        <charset val="1"/>
      </rPr>
      <t xml:space="preserve">$20–30K</t>
    </r>
    <r>
      <rPr>
        <sz val="11"/>
        <rFont val="Linux Libertine G"/>
        <family val="2"/>
      </rPr>
      <t xml:space="preserve">；靠升级撑住提价</t>
    </r>
  </si>
  <si>
    <t xml:space="preserve">$18,150 / 35 / 18</t>
  </si>
  <si>
    <r>
      <rPr>
        <sz val="11"/>
        <rFont val="Linux Libertine G"/>
        <family val="2"/>
        <charset val="1"/>
      </rPr>
      <t xml:space="preserve">$18,150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2.8% → 2.7%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+$545M</t>
    </r>
    <r>
      <rPr>
        <sz val="11"/>
        <rFont val="Linux Libertine G"/>
        <family val="2"/>
      </rPr>
      <t xml:space="preserve">；少投广告 </t>
    </r>
    <r>
      <rPr>
        <sz val="11"/>
        <rFont val="Linux Libertine G"/>
        <family val="2"/>
        <charset val="1"/>
      </rPr>
      <t xml:space="preserve">+$567M</t>
    </r>
  </si>
  <si>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，提 </t>
    </r>
    <r>
      <rPr>
        <sz val="11"/>
        <rFont val="Linux Libertine G"/>
        <family val="2"/>
        <charset val="1"/>
      </rPr>
      <t xml:space="preserve">10%</t>
    </r>
  </si>
  <si>
    <t xml:space="preserve">$40,000 / 300 / 120</t>
  </si>
  <si>
    <r>
      <rPr>
        <sz val="11"/>
        <rFont val="Linux Libertine G"/>
        <family val="2"/>
        <charset val="1"/>
      </rPr>
      <t xml:space="preserve">$42,900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6.0% → 4.3%</t>
    </r>
    <r>
      <rPr>
        <sz val="11"/>
        <rFont val="Linux Libertine G"/>
        <family val="2"/>
      </rPr>
      <t xml:space="preserve">（−</t>
    </r>
    <r>
      <rPr>
        <sz val="11"/>
        <rFont val="Linux Libertine G"/>
        <family val="2"/>
        <charset val="1"/>
      </rPr>
      <t xml:space="preserve">$1,952M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$40K 6.0%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+$725M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$40K / 200 / 80 6.0%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+$865M</t>
    </r>
    <r>
      <rPr>
        <sz val="11"/>
        <rFont val="Linux Libertine G"/>
        <family val="2"/>
      </rPr>
      <t xml:space="preserve">，知名度 </t>
    </r>
    <r>
      <rPr>
        <sz val="11"/>
        <rFont val="Linux Libertine G"/>
        <family val="2"/>
        <charset val="1"/>
      </rPr>
      <t xml:space="preserve">41.0% → 37.6%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</si>
  <si>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已高于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区间（</t>
    </r>
    <r>
      <rPr>
        <sz val="11"/>
        <rFont val="Linux Libertine G"/>
        <family val="2"/>
        <charset val="1"/>
      </rPr>
      <t xml:space="preserve">$26–38K</t>
    </r>
    <r>
      <rPr>
        <sz val="11"/>
        <rFont val="Linux Libertine G"/>
        <family val="2"/>
      </rPr>
      <t xml:space="preserve">），只提 </t>
    </r>
    <r>
      <rPr>
        <sz val="11"/>
        <rFont val="Linux Libertine G"/>
        <family val="2"/>
        <charset val="1"/>
      </rPr>
      <t xml:space="preserve">$1,000</t>
    </r>
    <r>
      <rPr>
        <sz val="11"/>
        <rFont val="Linux Libertine G"/>
        <family val="2"/>
      </rPr>
      <t xml:space="preserve">；保住知名度</t>
    </r>
  </si>
  <si>
    <t xml:space="preserve">$44,000 / 200 / 60</t>
  </si>
  <si>
    <r>
      <rPr>
        <sz val="11"/>
        <rFont val="Linux Libertine G"/>
        <family val="2"/>
        <charset val="1"/>
      </rPr>
      <t xml:space="preserve">$44K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2.2% </t>
    </r>
    <r>
      <rPr>
        <sz val="11"/>
        <rFont val="Linux Libertine G"/>
        <family val="2"/>
      </rPr>
      <t xml:space="preserve">不变，</t>
    </r>
    <r>
      <rPr>
        <sz val="11"/>
        <rFont val="Linux Libertine G"/>
        <family val="2"/>
        <charset val="1"/>
      </rPr>
      <t xml:space="preserve">+$1,056M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150 / 45 +$1,121M</t>
    </r>
    <r>
      <rPr>
        <sz val="11"/>
        <rFont val="Linux Libertine G"/>
        <family val="2"/>
      </rPr>
      <t xml:space="preserve">（知名度 </t>
    </r>
    <r>
      <rPr>
        <sz val="11"/>
        <rFont val="Linux Libertine G"/>
        <family val="2"/>
        <charset val="1"/>
      </rPr>
      <t xml:space="preserve">19.3% → 16.8%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</si>
  <si>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价格敏感度低、区间 </t>
    </r>
    <r>
      <rPr>
        <sz val="11"/>
        <rFont val="Linux Libertine G"/>
        <family val="2"/>
        <charset val="1"/>
      </rPr>
      <t xml:space="preserve">$29–43K</t>
    </r>
    <r>
      <rPr>
        <sz val="11"/>
        <rFont val="Linux Libertine G"/>
        <family val="2"/>
      </rPr>
      <t xml:space="preserve">；新车保住知名度</t>
    </r>
  </si>
  <si>
    <r>
      <rPr>
        <sz val="11"/>
        <rFont val="Linux Libertine G"/>
        <family val="2"/>
        <charset val="1"/>
      </rPr>
      <t xml:space="preserve">$28K +$8M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$26K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4.2% → 4.5%</t>
    </r>
    <r>
      <rPr>
        <sz val="11"/>
        <rFont val="Linux Libertine G"/>
        <family val="2"/>
      </rPr>
      <t xml:space="preserve">、贡献不变</t>
    </r>
  </si>
  <si>
    <t xml:space="preserve">维持</t>
  </si>
  <si>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Y6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</si>
  <si>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3S $32K 57.0%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$34K 55.4%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$36K 53.6%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$38K 51.3%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4S $36K 56.4%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3U $36K 1.1%</t>
    </r>
  </si>
  <si>
    <r>
      <rPr>
        <sz val="11"/>
        <rFont val="Linux Libertine G"/>
        <family val="2"/>
      </rPr>
      <t xml:space="preserve">每个买家的贡献 </t>
    </r>
    <r>
      <rPr>
        <sz val="11"/>
        <rFont val="Linux Libertine G"/>
        <family val="2"/>
        <charset val="1"/>
      </rPr>
      <t xml:space="preserve">$38K </t>
    </r>
    <r>
      <rPr>
        <sz val="11"/>
        <rFont val="Linux Libertine G"/>
        <family val="2"/>
      </rPr>
      <t xml:space="preserve">最高；继续做</t>
    </r>
  </si>
  <si>
    <r>
      <rPr>
        <sz val="11"/>
        <rFont val="Linux Libertine G"/>
        <family val="2"/>
        <charset val="1"/>
      </rPr>
      <t xml:space="preserve">10/28 </t>
    </r>
    <r>
      <rPr>
        <sz val="11"/>
        <rFont val="Linux Libertine G"/>
        <family val="2"/>
      </rPr>
      <t xml:space="preserve">加营销 </t>
    </r>
    <r>
      <rPr>
        <sz val="11"/>
        <rFont val="Linux Libertine G"/>
        <family val="2"/>
        <charset val="1"/>
      </rPr>
      <t xml:space="preserve">+$460M </t>
    </r>
    <r>
      <rPr>
        <sz val="11"/>
        <rFont val="Linux Libertine G"/>
        <family val="2"/>
      </rPr>
      <t xml:space="preserve">后（平移 −</t>
    </r>
    <r>
      <rPr>
        <sz val="11"/>
        <rFont val="Linux Libertine G"/>
        <family val="2"/>
        <charset val="1"/>
      </rPr>
      <t xml:space="preserve">$299M</t>
    </r>
    <r>
      <rPr>
        <sz val="11"/>
        <rFont val="Linux Libertine G"/>
        <family val="2"/>
      </rPr>
      <t xml:space="preserve">，没算多卖的车）：乐观约 </t>
    </r>
    <r>
      <rPr>
        <sz val="11"/>
        <rFont val="Linux Libertine G"/>
        <family val="2"/>
        <charset val="1"/>
      </rPr>
      <t xml:space="preserve">$20.7B</t>
    </r>
    <r>
      <rPr>
        <sz val="11"/>
        <rFont val="Linux Libertine G"/>
        <family val="2"/>
      </rPr>
      <t xml:space="preserve">；基准 </t>
    </r>
    <r>
      <rPr>
        <sz val="11"/>
        <rFont val="Linux Libertine G"/>
        <family val="2"/>
        <charset val="1"/>
      </rPr>
      <t xml:space="preserve">$18,251M</t>
    </r>
    <r>
      <rPr>
        <sz val="11"/>
        <rFont val="Linux Libertine G"/>
        <family val="2"/>
      </rPr>
      <t xml:space="preserve">；保守 </t>
    </r>
    <r>
      <rPr>
        <sz val="11"/>
        <rFont val="Linux Libertine G"/>
        <family val="2"/>
        <charset val="1"/>
      </rPr>
      <t xml:space="preserve">90%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$15.8B</t>
    </r>
    <r>
      <rPr>
        <sz val="11"/>
        <rFont val="Linux Libertine G"/>
        <family val="2"/>
      </rPr>
      <t xml:space="preserve">（现金约 </t>
    </r>
    <r>
      <rPr>
        <sz val="11"/>
        <rFont val="Linux Libertine G"/>
        <family val="2"/>
        <charset val="1"/>
      </rPr>
      <t xml:space="preserve">$16.9B</t>
    </r>
    <r>
      <rPr>
        <sz val="11"/>
        <rFont val="Linux Libertine G"/>
        <family val="2"/>
      </rPr>
      <t xml:space="preserve">）；很差 </t>
    </r>
    <r>
      <rPr>
        <sz val="11"/>
        <rFont val="Linux Libertine G"/>
        <family val="2"/>
        <charset val="1"/>
      </rPr>
      <t xml:space="preserve">80%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$13.4B</t>
    </r>
    <r>
      <rPr>
        <sz val="11"/>
        <rFont val="Linux Libertine G"/>
        <family val="2"/>
      </rPr>
      <t xml:space="preserve">（现金约 </t>
    </r>
    <r>
      <rPr>
        <sz val="11"/>
        <rFont val="Linux Libertine G"/>
        <family val="2"/>
        <charset val="1"/>
      </rPr>
      <t xml:space="preserve">$9.4B</t>
    </r>
    <r>
      <rPr>
        <sz val="11"/>
        <rFont val="Linux Libertine G"/>
        <family val="2"/>
      </rPr>
      <t xml:space="preserve">）。</t>
    </r>
    <r>
      <rPr>
        <sz val="11"/>
        <rFont val="Linux Libertine G"/>
        <family val="2"/>
        <charset val="1"/>
      </rPr>
      <t xml:space="preserve">10/27 </t>
    </r>
    <r>
      <rPr>
        <sz val="11"/>
        <rFont val="Linux Libertine G"/>
        <family val="2"/>
      </rPr>
      <t xml:space="preserve">版：乐观约 </t>
    </r>
    <r>
      <rPr>
        <sz val="11"/>
        <rFont val="Linux Libertine G"/>
        <family val="2"/>
        <charset val="1"/>
      </rPr>
      <t xml:space="preserve">$21.0B</t>
    </r>
    <r>
      <rPr>
        <sz val="11"/>
        <rFont val="Linux Libertine G"/>
        <family val="2"/>
      </rPr>
      <t xml:space="preserve">；基准 </t>
    </r>
    <r>
      <rPr>
        <sz val="11"/>
        <rFont val="Linux Libertine G"/>
        <family val="2"/>
        <charset val="1"/>
      </rPr>
      <t xml:space="preserve">$18,550M</t>
    </r>
    <r>
      <rPr>
        <sz val="11"/>
        <rFont val="Linux Libertine G"/>
        <family val="2"/>
      </rPr>
      <t xml:space="preserve">；保守 </t>
    </r>
    <r>
      <rPr>
        <sz val="11"/>
        <rFont val="Linux Libertine G"/>
        <family val="2"/>
        <charset val="1"/>
      </rPr>
      <t xml:space="preserve">90%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$16.1B</t>
    </r>
    <r>
      <rPr>
        <sz val="11"/>
        <rFont val="Linux Libertine G"/>
        <family val="2"/>
      </rPr>
      <t xml:space="preserve">（现金约 </t>
    </r>
    <r>
      <rPr>
        <sz val="11"/>
        <rFont val="Linux Libertine G"/>
        <family val="2"/>
        <charset val="1"/>
      </rPr>
      <t xml:space="preserve">$17.2B</t>
    </r>
    <r>
      <rPr>
        <sz val="11"/>
        <rFont val="Linux Libertine G"/>
        <family val="2"/>
      </rPr>
      <t xml:space="preserve">）；很差 </t>
    </r>
    <r>
      <rPr>
        <sz val="11"/>
        <rFont val="Linux Libertine G"/>
        <family val="2"/>
        <charset val="1"/>
      </rPr>
      <t xml:space="preserve">80%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$13.7B</t>
    </r>
    <r>
      <rPr>
        <sz val="11"/>
        <rFont val="Linux Libertine G"/>
        <family val="2"/>
      </rPr>
      <t xml:space="preserve">（现金约 </t>
    </r>
    <r>
      <rPr>
        <sz val="11"/>
        <rFont val="Linux Libertine G"/>
        <family val="2"/>
        <charset val="1"/>
      </rPr>
      <t xml:space="preserve">$9.7B</t>
    </r>
    <r>
      <rPr>
        <sz val="11"/>
        <rFont val="Linux Libertine G"/>
        <family val="2"/>
      </rPr>
      <t xml:space="preserve">）。加产能、分红之前：</t>
    </r>
    <r>
      <rPr>
        <sz val="11"/>
        <rFont val="Linux Libertine G"/>
        <family val="2"/>
        <charset val="1"/>
      </rPr>
      <t xml:space="preserve">$20.6B / $18,328M / $15.9B / $13.5B</t>
    </r>
  </si>
  <si>
    <t xml:space="preserve">都赚钱，现金都为正；不用借钱</t>
  </si>
  <si>
    <r>
      <rPr>
        <b val="true"/>
        <sz val="14"/>
        <rFont val="Arial"/>
        <family val="0"/>
        <charset val="1"/>
      </rPr>
      <t xml:space="preserve">Year 5 </t>
    </r>
    <r>
      <rPr>
        <b val="true"/>
        <sz val="14"/>
        <rFont val="Linux Libertine G"/>
        <family val="2"/>
      </rPr>
      <t xml:space="preserve">补充测试（</t>
    </r>
    <r>
      <rPr>
        <b val="true"/>
        <sz val="14"/>
        <rFont val="Arial"/>
        <family val="0"/>
        <charset val="1"/>
      </rPr>
      <t xml:space="preserve">10/6</t>
    </r>
    <r>
      <rPr>
        <b val="true"/>
        <sz val="14"/>
        <rFont val="Linux Libertine G"/>
        <family val="2"/>
      </rPr>
      <t xml:space="preserve">）：练习轮不再推进，只用 </t>
    </r>
    <r>
      <rPr>
        <b val="true"/>
        <sz val="14"/>
        <rFont val="Arial"/>
        <family val="0"/>
        <charset val="1"/>
      </rPr>
      <t xml:space="preserve">Concept Test / Test Market </t>
    </r>
    <r>
      <rPr>
        <b val="true"/>
        <sz val="14"/>
        <rFont val="Linux Libertine G"/>
        <family val="2"/>
      </rPr>
      <t xml:space="preserve">测</t>
    </r>
  </si>
  <si>
    <r>
      <rPr>
        <i val="true"/>
        <sz val="11"/>
        <color rgb="FF595959"/>
        <rFont val="Linux Libertine G"/>
        <family val="2"/>
      </rPr>
      <t xml:space="preserve">是测试工具的预测，不是真实结果。单车毛利 </t>
    </r>
    <r>
      <rPr>
        <i val="true"/>
        <sz val="11"/>
        <color rgb="FF595959"/>
        <rFont val="Linux Libertine G"/>
        <family val="2"/>
        <charset val="1"/>
      </rPr>
      <t xml:space="preserve">= </t>
    </r>
    <r>
      <rPr>
        <i val="true"/>
        <sz val="11"/>
        <color rgb="FF595959"/>
        <rFont val="Linux Libertine G"/>
        <family val="2"/>
      </rPr>
      <t xml:space="preserve">售价 </t>
    </r>
    <r>
      <rPr>
        <i val="true"/>
        <sz val="11"/>
        <color rgb="FF595959"/>
        <rFont val="Linux Libertine G"/>
        <family val="2"/>
        <charset val="1"/>
      </rPr>
      <t xml:space="preserve">× 0.9 − Base Cost</t>
    </r>
    <r>
      <rPr>
        <i val="true"/>
        <sz val="11"/>
        <color rgb="FF595959"/>
        <rFont val="Linux Libertine G"/>
        <family val="2"/>
      </rPr>
      <t xml:space="preserve">（按 </t>
    </r>
    <r>
      <rPr>
        <i val="true"/>
        <sz val="11"/>
        <color rgb="FF595959"/>
        <rFont val="Linux Libertine G"/>
        <family val="2"/>
        <charset val="1"/>
      </rPr>
      <t xml:space="preserve">10% </t>
    </r>
    <r>
      <rPr>
        <i val="true"/>
        <sz val="11"/>
        <color rgb="FF595959"/>
        <rFont val="Linux Libertine G"/>
        <family val="2"/>
      </rPr>
      <t xml:space="preserve">经销商折扣粗算，是推断）。</t>
    </r>
  </si>
  <si>
    <t xml:space="preserve">新车概念</t>
  </si>
  <si>
    <t xml:space="preserve">目标市场（规模）</t>
  </si>
  <si>
    <t xml:space="preserve">测试价格</t>
  </si>
  <si>
    <t xml:space="preserve">Likely to buy</t>
  </si>
  <si>
    <t xml:space="preserve">Base Cost</t>
  </si>
  <si>
    <t xml:space="preserve">单车毛利（推断）</t>
  </si>
  <si>
    <r>
      <rPr>
        <b val="true"/>
        <sz val="11"/>
        <color rgb="FFFFFFFF"/>
        <rFont val="Linux Libertine G"/>
        <family val="2"/>
      </rPr>
      <t xml:space="preserve">开发费 </t>
    </r>
    <r>
      <rPr>
        <b val="true"/>
        <sz val="11"/>
        <color rgb="FFFFFFFF"/>
        <rFont val="Linux Libertine G"/>
        <family val="2"/>
        <charset val="1"/>
      </rPr>
      <t xml:space="preserve">/ </t>
    </r>
    <r>
      <rPr>
        <b val="true"/>
        <sz val="11"/>
        <color rgb="FFFFFFFF"/>
        <rFont val="Linux Libertine G"/>
        <family val="2"/>
      </rPr>
      <t xml:space="preserve">时间</t>
    </r>
  </si>
  <si>
    <r>
      <rPr>
        <b val="true"/>
        <sz val="11"/>
        <color rgb="FF000000"/>
        <rFont val="Linux Libertine G"/>
        <family val="2"/>
      </rPr>
      <t xml:space="preserve">高端 </t>
    </r>
    <r>
      <rPr>
        <b val="true"/>
        <sz val="11"/>
        <color rgb="FF000000"/>
        <rFont val="Linux Libertine G"/>
        <family val="2"/>
        <charset val="1"/>
      </rPr>
      <t xml:space="preserve">Minivan 63/200/I4</t>
    </r>
  </si>
  <si>
    <r>
      <rPr>
        <sz val="11"/>
        <color rgb="FF000000"/>
        <rFont val="Arial"/>
        <family val="0"/>
        <charset val="1"/>
      </rPr>
      <t xml:space="preserve">4M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20 </t>
    </r>
    <r>
      <rPr>
        <sz val="11"/>
        <color rgb="FF000000"/>
        <rFont val="Linux Libertine G"/>
        <family val="2"/>
      </rPr>
      <t xml:space="preserve">万辆）</t>
    </r>
  </si>
  <si>
    <r>
      <rPr>
        <sz val="11"/>
        <color rgb="FF000000"/>
        <rFont val="Arial"/>
        <family val="0"/>
        <charset val="1"/>
      </rPr>
      <t xml:space="preserve">$1,469M / 3 </t>
    </r>
    <r>
      <rPr>
        <sz val="11"/>
        <color rgb="FF000000"/>
        <rFont val="Linux Libertine G"/>
        <family val="2"/>
      </rPr>
      <t xml:space="preserve">年</t>
    </r>
  </si>
  <si>
    <t xml:space="preserve">✅ 单车利润最高</t>
  </si>
  <si>
    <r>
      <rPr>
        <b val="true"/>
        <sz val="11"/>
        <color rgb="FF000000"/>
        <rFont val="Linux Libertine G"/>
        <family val="2"/>
      </rPr>
      <t xml:space="preserve">豪华车 </t>
    </r>
    <r>
      <rPr>
        <b val="true"/>
        <sz val="11"/>
        <color rgb="FF000000"/>
        <rFont val="Linux Libertine G"/>
        <family val="2"/>
        <charset val="1"/>
      </rPr>
      <t xml:space="preserve">65/250/S7 Q6</t>
    </r>
  </si>
  <si>
    <r>
      <rPr>
        <sz val="11"/>
        <color rgb="FF000000"/>
        <rFont val="Arial"/>
        <family val="0"/>
        <charset val="1"/>
      </rPr>
      <t xml:space="preserve">5L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31 </t>
    </r>
    <r>
      <rPr>
        <sz val="11"/>
        <color rgb="FF000000"/>
        <rFont val="Linux Libertine G"/>
        <family val="2"/>
      </rPr>
      <t xml:space="preserve">万辆，不敏感）</t>
    </r>
  </si>
  <si>
    <r>
      <rPr>
        <sz val="11"/>
        <color rgb="FF000000"/>
        <rFont val="Arial"/>
        <family val="0"/>
        <charset val="1"/>
      </rPr>
      <t xml:space="preserve">$1,633M / 3 </t>
    </r>
    <r>
      <rPr>
        <sz val="11"/>
        <color rgb="FF000000"/>
        <rFont val="Linux Libertine G"/>
        <family val="2"/>
      </rPr>
      <t xml:space="preserve">年</t>
    </r>
  </si>
  <si>
    <t xml:space="preserve">✅ 高价、不敏感</t>
  </si>
  <si>
    <r>
      <rPr>
        <b val="true"/>
        <sz val="11"/>
        <color rgb="FF000000"/>
        <rFont val="Linux Libertine G"/>
        <family val="2"/>
      </rPr>
      <t xml:space="preserve">跑车 </t>
    </r>
    <r>
      <rPr>
        <b val="true"/>
        <sz val="11"/>
        <color rgb="FF000000"/>
        <rFont val="Linux Libertine G"/>
        <family val="2"/>
        <charset val="1"/>
      </rPr>
      <t xml:space="preserve">39/200/S6</t>
    </r>
  </si>
  <si>
    <r>
      <rPr>
        <sz val="11"/>
        <color rgb="FF000000"/>
        <rFont val="Arial"/>
        <family val="0"/>
        <charset val="1"/>
      </rPr>
      <t xml:space="preserve">3S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51 </t>
    </r>
    <r>
      <rPr>
        <sz val="11"/>
        <color rgb="FF000000"/>
        <rFont val="Linux Libertine G"/>
        <family val="2"/>
      </rPr>
      <t xml:space="preserve">万辆）</t>
    </r>
  </si>
  <si>
    <r>
      <rPr>
        <sz val="11"/>
        <color rgb="FF000000"/>
        <rFont val="Arial"/>
        <family val="0"/>
        <charset val="1"/>
      </rPr>
      <t xml:space="preserve">$1,199M / 3 </t>
    </r>
    <r>
      <rPr>
        <sz val="11"/>
        <color rgb="FF000000"/>
        <rFont val="Linux Libertine G"/>
        <family val="2"/>
      </rPr>
      <t xml:space="preserve">年</t>
    </r>
  </si>
  <si>
    <t xml:space="preserve">可以考虑</t>
  </si>
  <si>
    <r>
      <rPr>
        <b val="true"/>
        <sz val="11"/>
        <color rgb="FF000000"/>
        <rFont val="Linux Libertine G"/>
        <family val="2"/>
      </rPr>
      <t xml:space="preserve">大卡车 </t>
    </r>
    <r>
      <rPr>
        <b val="true"/>
        <sz val="11"/>
        <color rgb="FF000000"/>
        <rFont val="Linux Libertine G"/>
        <family val="2"/>
        <charset val="1"/>
      </rPr>
      <t xml:space="preserve">90/275/Q5</t>
    </r>
  </si>
  <si>
    <r>
      <rPr>
        <sz val="11"/>
        <color rgb="FF000000"/>
        <rFont val="Arial"/>
        <family val="0"/>
        <charset val="1"/>
      </rPr>
      <t xml:space="preserve">1T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111 </t>
    </r>
    <r>
      <rPr>
        <sz val="11"/>
        <color rgb="FF000000"/>
        <rFont val="Linux Libertine G"/>
        <family val="2"/>
      </rPr>
      <t xml:space="preserve">万辆，很敏感）</t>
    </r>
  </si>
  <si>
    <r>
      <rPr>
        <sz val="11"/>
        <color rgb="FF000000"/>
        <rFont val="Arial"/>
        <family val="0"/>
        <charset val="1"/>
      </rPr>
      <t xml:space="preserve">$1,408M / 2 </t>
    </r>
    <r>
      <rPr>
        <sz val="11"/>
        <color rgb="FF000000"/>
        <rFont val="Linux Libertine G"/>
        <family val="2"/>
      </rPr>
      <t xml:space="preserve">年</t>
    </r>
  </si>
  <si>
    <r>
      <rPr>
        <sz val="11"/>
        <color rgb="FF000000"/>
        <rFont val="Linux Libertine G"/>
        <family val="2"/>
      </rPr>
      <t xml:space="preserve">利润薄；尺寸要到 </t>
    </r>
    <r>
      <rPr>
        <sz val="11"/>
        <color rgb="FF000000"/>
        <rFont val="Linux Libertine G"/>
        <family val="2"/>
        <charset val="1"/>
      </rPr>
      <t xml:space="preserve">93–95</t>
    </r>
  </si>
  <si>
    <t xml:space="preserve">AEV 41/160/S7</t>
  </si>
  <si>
    <r>
      <rPr>
        <sz val="11"/>
        <color rgb="FF000000"/>
        <rFont val="Arial"/>
        <family val="0"/>
        <charset val="1"/>
      </rPr>
      <t xml:space="preserve">5A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31 </t>
    </r>
    <r>
      <rPr>
        <sz val="11"/>
        <color rgb="FF000000"/>
        <rFont val="Linux Libertine G"/>
        <family val="2"/>
      </rPr>
      <t xml:space="preserve">万辆）</t>
    </r>
  </si>
  <si>
    <r>
      <rPr>
        <sz val="11"/>
        <color rgb="FF000000"/>
        <rFont val="Arial"/>
        <family val="0"/>
        <charset val="1"/>
      </rPr>
      <t xml:space="preserve">$1,363M / 3 </t>
    </r>
    <r>
      <rPr>
        <sz val="11"/>
        <color rgb="FF000000"/>
        <rFont val="Linux Libertine G"/>
        <family val="2"/>
      </rPr>
      <t xml:space="preserve">年</t>
    </r>
  </si>
  <si>
    <t xml:space="preserve">❌ 买家多但利润薄</t>
  </si>
  <si>
    <t xml:space="preserve">Minivan 77/180/Sf5 Q5</t>
  </si>
  <si>
    <r>
      <rPr>
        <sz val="11"/>
        <color rgb="FF000000"/>
        <rFont val="Arial"/>
        <family val="0"/>
        <charset val="1"/>
      </rPr>
      <t xml:space="preserve">2M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41 </t>
    </r>
    <r>
      <rPr>
        <sz val="11"/>
        <color rgb="FF000000"/>
        <rFont val="Linux Libertine G"/>
        <family val="2"/>
      </rPr>
      <t xml:space="preserve">万辆）</t>
    </r>
  </si>
  <si>
    <r>
      <rPr>
        <sz val="11"/>
        <color rgb="FF000000"/>
        <rFont val="Arial"/>
        <family val="0"/>
        <charset val="1"/>
      </rPr>
      <t xml:space="preserve">$1,768M / 3 </t>
    </r>
    <r>
      <rPr>
        <sz val="11"/>
        <color rgb="FF000000"/>
        <rFont val="Linux Libertine G"/>
        <family val="2"/>
      </rPr>
      <t xml:space="preserve">年</t>
    </r>
  </si>
  <si>
    <t xml:space="preserve">❌ 几乎不赚钱</t>
  </si>
  <si>
    <r>
      <rPr>
        <b val="true"/>
        <sz val="11"/>
        <color rgb="FF000000"/>
        <rFont val="Linux Libertine G"/>
        <family val="2"/>
      </rPr>
      <t xml:space="preserve">小 </t>
    </r>
    <r>
      <rPr>
        <b val="true"/>
        <sz val="11"/>
        <color rgb="FF000000"/>
        <rFont val="Linux Libertine G"/>
        <family val="2"/>
        <charset val="1"/>
      </rPr>
      <t xml:space="preserve">Utility 52/180/S6</t>
    </r>
  </si>
  <si>
    <r>
      <rPr>
        <sz val="11"/>
        <color rgb="FF000000"/>
        <rFont val="Arial"/>
        <family val="0"/>
        <charset val="1"/>
      </rPr>
      <t xml:space="preserve">3U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88 </t>
    </r>
    <r>
      <rPr>
        <sz val="11"/>
        <color rgb="FF000000"/>
        <rFont val="Linux Libertine G"/>
        <family val="2"/>
      </rPr>
      <t xml:space="preserve">万辆）</t>
    </r>
  </si>
  <si>
    <r>
      <rPr>
        <sz val="11"/>
        <color rgb="FF000000"/>
        <rFont val="Arial"/>
        <family val="0"/>
        <charset val="1"/>
      </rPr>
      <t xml:space="preserve">$980M / 2 </t>
    </r>
    <r>
      <rPr>
        <sz val="11"/>
        <color rgb="FF000000"/>
        <rFont val="Linux Libertine G"/>
        <family val="2"/>
      </rPr>
      <t xml:space="preserve">年</t>
    </r>
  </si>
  <si>
    <t xml:space="preserve">❌ 这个价位会亏</t>
  </si>
  <si>
    <r>
      <rPr>
        <b val="true"/>
        <sz val="11"/>
        <color rgb="FF000000"/>
        <rFont val="Arial"/>
        <family val="0"/>
        <charset val="1"/>
      </rPr>
      <t xml:space="preserve">Cameo major 24/125</t>
    </r>
    <r>
      <rPr>
        <b val="true"/>
        <sz val="11"/>
        <color rgb="FF000000"/>
        <rFont val="Linux Libertine G"/>
        <family val="2"/>
      </rPr>
      <t xml:space="preserve">（</t>
    </r>
    <r>
      <rPr>
        <b val="true"/>
        <sz val="11"/>
        <color rgb="FF000000"/>
        <rFont val="Arial"/>
        <family val="0"/>
        <charset val="1"/>
      </rPr>
      <t xml:space="preserve">2E</t>
    </r>
    <r>
      <rPr>
        <b val="true"/>
        <sz val="11"/>
        <color rgb="FF000000"/>
        <rFont val="Linux Libertine G"/>
        <family val="2"/>
      </rPr>
      <t xml:space="preserve">）</t>
    </r>
  </si>
  <si>
    <t xml:space="preserve">2E</t>
  </si>
  <si>
    <t xml:space="preserve">✅ 15.7% → 43.4%</t>
  </si>
  <si>
    <r>
      <rPr>
        <b val="true"/>
        <sz val="11"/>
        <color rgb="FF000000"/>
        <rFont val="Arial"/>
        <family val="0"/>
        <charset val="1"/>
      </rPr>
      <t xml:space="preserve">Cameo major 24/125</t>
    </r>
    <r>
      <rPr>
        <b val="true"/>
        <sz val="11"/>
        <color rgb="FF000000"/>
        <rFont val="Linux Libertine G"/>
        <family val="2"/>
      </rPr>
      <t xml:space="preserve">（</t>
    </r>
    <r>
      <rPr>
        <b val="true"/>
        <sz val="11"/>
        <color rgb="FF000000"/>
        <rFont val="Arial"/>
        <family val="0"/>
        <charset val="1"/>
      </rPr>
      <t xml:space="preserve">1E</t>
    </r>
    <r>
      <rPr>
        <b val="true"/>
        <sz val="11"/>
        <color rgb="FF000000"/>
        <rFont val="Linux Libertine G"/>
        <family val="2"/>
      </rPr>
      <t xml:space="preserve">）</t>
    </r>
  </si>
  <si>
    <t xml:space="preserve">1E</t>
  </si>
  <si>
    <r>
      <rPr>
        <sz val="11"/>
        <color rgb="FF000000"/>
        <rFont val="Linux Libertine G"/>
        <family val="2"/>
      </rPr>
      <t xml:space="preserve">放弃 </t>
    </r>
    <r>
      <rPr>
        <sz val="11"/>
        <color rgb="FF000000"/>
        <rFont val="Linux Libertine G"/>
        <family val="2"/>
        <charset val="1"/>
      </rPr>
      <t xml:space="preserve">1E</t>
    </r>
  </si>
  <si>
    <r>
      <rPr>
        <b val="true"/>
        <sz val="11"/>
        <color rgb="FFFFFFFF"/>
        <rFont val="Linux Libertine G"/>
        <family val="2"/>
      </rPr>
      <t xml:space="preserve">价格上限测试（</t>
    </r>
    <r>
      <rPr>
        <b val="true"/>
        <sz val="11"/>
        <color rgb="FFFFFFFF"/>
        <rFont val="Linux Libertine G"/>
        <family val="2"/>
        <charset val="1"/>
      </rPr>
      <t xml:space="preserve">Test Market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</si>
  <si>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原价 → 测试价</t>
  </si>
  <si>
    <t xml:space="preserve">份额变化</t>
  </si>
  <si>
    <r>
      <rPr>
        <b val="true"/>
        <sz val="11"/>
        <color rgb="FFFFFFFF"/>
        <rFont val="Linux Libertine G"/>
        <family val="2"/>
      </rPr>
      <t xml:space="preserve">贡献变化（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</si>
  <si>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$34,000 → $37,400</t>
  </si>
  <si>
    <t xml:space="preserve">7.2% → 7.2%</t>
  </si>
  <si>
    <r>
      <rPr>
        <sz val="11"/>
        <color rgb="FF000000"/>
        <rFont val="Linux Libertine G"/>
        <family val="2"/>
      </rPr>
      <t xml:space="preserve">✅ 提价 </t>
    </r>
    <r>
      <rPr>
        <sz val="11"/>
        <color rgb="FF000000"/>
        <rFont val="Linux Libertine G"/>
        <family val="2"/>
        <charset val="1"/>
      </rPr>
      <t xml:space="preserve">10% </t>
    </r>
    <r>
      <rPr>
        <sz val="11"/>
        <color rgb="FF000000"/>
        <rFont val="Linux Libertine G"/>
        <family val="2"/>
      </rPr>
      <t xml:space="preserve">份额不变</t>
    </r>
  </si>
  <si>
    <t xml:space="preserve">$21,500 → $23,600</t>
  </si>
  <si>
    <t xml:space="preserve">7.8% → 7.8%</t>
  </si>
  <si>
    <t xml:space="preserve">$23,300 → $25,600</t>
  </si>
  <si>
    <t xml:space="preserve">4.5% → 4.4%</t>
  </si>
  <si>
    <t xml:space="preserve">$14,000 → $15,400</t>
  </si>
  <si>
    <t xml:space="preserve">3.2% → 3.2%</t>
  </si>
  <si>
    <r>
      <rPr>
        <b val="true"/>
        <sz val="11"/>
        <color rgb="FF000000"/>
        <rFont val="Arial"/>
        <family val="0"/>
        <charset val="1"/>
      </rPr>
      <t xml:space="preserve">Cafav </t>
    </r>
    <r>
      <rPr>
        <b val="true"/>
        <sz val="11"/>
        <color rgb="FF000000"/>
        <rFont val="Linux Libertine G"/>
        <family val="2"/>
      </rPr>
      <t xml:space="preserve">营销加倍</t>
    </r>
  </si>
  <si>
    <t xml:space="preserve">160/100 → 300/150</t>
  </si>
  <si>
    <t xml:space="preserve">7.8% → 7.9%</t>
  </si>
  <si>
    <t xml:space="preserve">❌ 供不应求时多花营销是浪费</t>
  </si>
  <si>
    <r>
      <rPr>
        <b val="true"/>
        <sz val="11"/>
        <color rgb="FFFFFFFF"/>
        <rFont val="Arial"/>
        <family val="0"/>
        <charset val="1"/>
      </rPr>
      <t xml:space="preserve">Pro-Forma </t>
    </r>
    <r>
      <rPr>
        <b val="true"/>
        <sz val="11"/>
        <color rgb="FFFFFFFF"/>
        <rFont val="Linux Libertine G"/>
        <family val="2"/>
      </rPr>
      <t xml:space="preserve">推算：超产多少（产能 </t>
    </r>
    <r>
      <rPr>
        <b val="true"/>
        <sz val="11"/>
        <color rgb="FFFFFFFF"/>
        <rFont val="Arial"/>
        <family val="0"/>
        <charset val="1"/>
      </rPr>
      <t xml:space="preserve">2,200K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</si>
  <si>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超产能费（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</si>
  <si>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比上一档多赚（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</si>
  <si>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000000"/>
        <rFont val="Arial"/>
        <family val="0"/>
        <charset val="1"/>
      </rPr>
      <t xml:space="preserve">A0 </t>
    </r>
    <r>
      <rPr>
        <b val="true"/>
        <sz val="11"/>
        <color rgb="FF000000"/>
        <rFont val="Linux Libertine G"/>
        <family val="2"/>
      </rPr>
      <t xml:space="preserve">产量 </t>
    </r>
    <r>
      <rPr>
        <b val="true"/>
        <sz val="11"/>
        <color rgb="FF000000"/>
        <rFont val="Arial"/>
        <family val="0"/>
        <charset val="1"/>
      </rPr>
      <t xml:space="preserve">= </t>
    </r>
    <r>
      <rPr>
        <b val="true"/>
        <sz val="11"/>
        <color rgb="FF000000"/>
        <rFont val="Linux Libertine G"/>
        <family val="2"/>
      </rPr>
      <t xml:space="preserve">产能</t>
    </r>
  </si>
  <si>
    <t xml:space="preserve">按提价后的价格，并假设全部卖光</t>
  </si>
  <si>
    <r>
      <rPr>
        <b val="true"/>
        <sz val="11"/>
        <color rgb="FF000000"/>
        <rFont val="Arial"/>
        <family val="0"/>
        <charset val="1"/>
      </rPr>
      <t xml:space="preserve">A1 </t>
    </r>
    <r>
      <rPr>
        <b val="true"/>
        <sz val="11"/>
        <color rgb="FF000000"/>
        <rFont val="Linux Libertine G"/>
        <family val="2"/>
      </rPr>
      <t xml:space="preserve">超产 </t>
    </r>
    <r>
      <rPr>
        <b val="true"/>
        <sz val="11"/>
        <color rgb="FF000000"/>
        <rFont val="Arial"/>
        <family val="0"/>
        <charset val="1"/>
      </rPr>
      <t xml:space="preserve">10%</t>
    </r>
  </si>
  <si>
    <r>
      <rPr>
        <sz val="11"/>
        <color rgb="FF000000"/>
        <rFont val="Linux Libertine G"/>
        <family val="2"/>
      </rPr>
      <t xml:space="preserve">每多超 </t>
    </r>
    <r>
      <rPr>
        <sz val="11"/>
        <color rgb="FF000000"/>
        <rFont val="Linux Libertine G"/>
        <family val="2"/>
        <charset val="1"/>
      </rPr>
      <t xml:space="preserve">1 </t>
    </r>
    <r>
      <rPr>
        <sz val="11"/>
        <color rgb="FF000000"/>
        <rFont val="Linux Libertine G"/>
        <family val="2"/>
      </rPr>
      <t xml:space="preserve">辆约 </t>
    </r>
    <r>
      <rPr>
        <sz val="11"/>
        <color rgb="FF000000"/>
        <rFont val="Linux Libertine G"/>
        <family val="2"/>
        <charset val="1"/>
      </rPr>
      <t xml:space="preserve">$2,200</t>
    </r>
  </si>
  <si>
    <r>
      <rPr>
        <b val="true"/>
        <sz val="11"/>
        <color rgb="FF000000"/>
        <rFont val="Arial"/>
        <family val="0"/>
        <charset val="1"/>
      </rPr>
      <t xml:space="preserve">A2 </t>
    </r>
    <r>
      <rPr>
        <b val="true"/>
        <sz val="11"/>
        <color rgb="FF000000"/>
        <rFont val="Linux Libertine G"/>
        <family val="2"/>
      </rPr>
      <t xml:space="preserve">超产 </t>
    </r>
    <r>
      <rPr>
        <b val="true"/>
        <sz val="11"/>
        <color rgb="FF000000"/>
        <rFont val="Arial"/>
        <family val="0"/>
        <charset val="1"/>
      </rPr>
      <t xml:space="preserve">20%</t>
    </r>
  </si>
  <si>
    <r>
      <rPr>
        <sz val="11"/>
        <color rgb="FF000000"/>
        <rFont val="Linux Libertine G"/>
        <family val="2"/>
      </rPr>
      <t xml:space="preserve">每多超 </t>
    </r>
    <r>
      <rPr>
        <sz val="11"/>
        <color rgb="FF000000"/>
        <rFont val="Linux Libertine G"/>
        <family val="2"/>
        <charset val="1"/>
      </rPr>
      <t xml:space="preserve">1 </t>
    </r>
    <r>
      <rPr>
        <sz val="11"/>
        <color rgb="FF000000"/>
        <rFont val="Linux Libertine G"/>
        <family val="2"/>
      </rPr>
      <t xml:space="preserve">辆约 </t>
    </r>
    <r>
      <rPr>
        <sz val="11"/>
        <color rgb="FF000000"/>
        <rFont val="Linux Libertine G"/>
        <family val="2"/>
        <charset val="1"/>
      </rPr>
      <t xml:space="preserve">$2,800</t>
    </r>
  </si>
  <si>
    <r>
      <rPr>
        <b val="true"/>
        <sz val="11"/>
        <color rgb="FF000000"/>
        <rFont val="Arial"/>
        <family val="0"/>
        <charset val="1"/>
      </rPr>
      <t xml:space="preserve">A3 </t>
    </r>
    <r>
      <rPr>
        <b val="true"/>
        <sz val="11"/>
        <color rgb="FF000000"/>
        <rFont val="Linux Libertine G"/>
        <family val="2"/>
      </rPr>
      <t xml:space="preserve">超产 </t>
    </r>
    <r>
      <rPr>
        <b val="true"/>
        <sz val="11"/>
        <color rgb="FF000000"/>
        <rFont val="Arial"/>
        <family val="0"/>
        <charset val="1"/>
      </rPr>
      <t xml:space="preserve">30%</t>
    </r>
  </si>
  <si>
    <r>
      <rPr>
        <sz val="11"/>
        <color rgb="FF000000"/>
        <rFont val="Linux Libertine G"/>
        <family val="2"/>
      </rPr>
      <t xml:space="preserve">每多超 </t>
    </r>
    <r>
      <rPr>
        <sz val="11"/>
        <color rgb="FF000000"/>
        <rFont val="Linux Libertine G"/>
        <family val="2"/>
        <charset val="1"/>
      </rPr>
      <t xml:space="preserve">1 </t>
    </r>
    <r>
      <rPr>
        <sz val="11"/>
        <color rgb="FF000000"/>
        <rFont val="Linux Libertine G"/>
        <family val="2"/>
      </rPr>
      <t xml:space="preserve">辆约 </t>
    </r>
    <r>
      <rPr>
        <sz val="11"/>
        <color rgb="FF000000"/>
        <rFont val="Linux Libertine G"/>
        <family val="2"/>
        <charset val="1"/>
      </rPr>
      <t xml:space="preserve">$3,500</t>
    </r>
  </si>
  <si>
    <r>
      <rPr>
        <b val="true"/>
        <sz val="11"/>
        <color rgb="FFFFFFFF"/>
        <rFont val="Arial"/>
        <family val="0"/>
        <charset val="1"/>
      </rPr>
      <t xml:space="preserve">Pro-Forma </t>
    </r>
    <r>
      <rPr>
        <b val="true"/>
        <sz val="11"/>
        <color rgb="FFFFFFFF"/>
        <rFont val="Linux Libertine G"/>
        <family val="2"/>
      </rPr>
      <t xml:space="preserve">推算：扩产和出钱方式（产量 </t>
    </r>
    <r>
      <rPr>
        <b val="true"/>
        <sz val="11"/>
        <color rgb="FFFFFFFF"/>
        <rFont val="Arial"/>
        <family val="0"/>
        <charset val="1"/>
      </rPr>
      <t xml:space="preserve">110%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</si>
  <si>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今年净利（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</si>
  <si>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r>
      <rPr>
        <b val="true"/>
        <sz val="11"/>
        <color rgb="FFFFFFFF"/>
        <rFont val="Linux Libertine G"/>
        <family val="2"/>
      </rPr>
      <t xml:space="preserve">期末现金（</t>
    </r>
    <r>
      <rPr>
        <b val="true"/>
        <sz val="11"/>
        <color rgb="FFFFFFFF"/>
        <rFont val="Linux Libertine G"/>
        <family val="2"/>
        <charset val="1"/>
      </rPr>
      <t xml:space="preserve">$M</t>
    </r>
    <r>
      <rPr>
        <b val="true"/>
        <sz val="11"/>
        <color rgb="FFFFFFFF"/>
        <rFont val="Linux Libertine G"/>
        <family val="2"/>
      </rPr>
      <t xml:space="preserve">）</t>
    </r>
  </si>
  <si>
    <t xml:space="preserve">B1</t>
  </si>
  <si>
    <r>
      <rPr>
        <sz val="11"/>
        <color rgb="FF000000"/>
        <rFont val="Linux Libertine G"/>
        <family val="2"/>
      </rPr>
      <t xml:space="preserve">扩产 </t>
    </r>
    <r>
      <rPr>
        <sz val="11"/>
        <color rgb="FF000000"/>
        <rFont val="Linux Libertine G"/>
        <family val="2"/>
        <charset val="1"/>
      </rPr>
      <t xml:space="preserve">+500K</t>
    </r>
    <r>
      <rPr>
        <sz val="11"/>
        <color rgb="FF000000"/>
        <rFont val="Linux Libertine G"/>
        <family val="2"/>
      </rPr>
      <t xml:space="preserve">，用现金</t>
    </r>
  </si>
  <si>
    <r>
      <rPr>
        <sz val="11"/>
        <color rgb="FF000000"/>
        <rFont val="Linux Libertine G"/>
        <family val="2"/>
      </rPr>
      <t xml:space="preserve">花 </t>
    </r>
    <r>
      <rPr>
        <sz val="11"/>
        <color rgb="FF000000"/>
        <rFont val="Linux Libertine G"/>
        <family val="2"/>
        <charset val="1"/>
      </rPr>
      <t xml:space="preserve">$3,568M</t>
    </r>
    <r>
      <rPr>
        <sz val="11"/>
        <color rgb="FF000000"/>
        <rFont val="Linux Libertine G"/>
        <family val="2"/>
      </rPr>
      <t xml:space="preserve">（每 </t>
    </r>
    <r>
      <rPr>
        <sz val="11"/>
        <color rgb="FF000000"/>
        <rFont val="Linux Libertine G"/>
        <family val="2"/>
        <charset val="1"/>
      </rPr>
      <t xml:space="preserve">1K </t>
    </r>
    <r>
      <rPr>
        <sz val="11"/>
        <color rgb="FF000000"/>
        <rFont val="Linux Libertine G"/>
        <family val="2"/>
      </rPr>
      <t xml:space="preserve">辆约 </t>
    </r>
    <r>
      <rPr>
        <sz val="11"/>
        <color rgb="FF000000"/>
        <rFont val="Linux Libertine G"/>
        <family val="2"/>
        <charset val="1"/>
      </rPr>
      <t xml:space="preserve">$714K</t>
    </r>
    <r>
      <rPr>
        <sz val="11"/>
        <color rgb="FF000000"/>
        <rFont val="Linux Libertine G"/>
        <family val="2"/>
      </rPr>
      <t xml:space="preserve">），今年净利不变</t>
    </r>
  </si>
  <si>
    <t xml:space="preserve">B2</t>
  </si>
  <si>
    <r>
      <rPr>
        <sz val="11"/>
        <color rgb="FF000000"/>
        <rFont val="Linux Libertine G"/>
        <family val="2"/>
      </rPr>
      <t xml:space="preserve">扩产 </t>
    </r>
    <r>
      <rPr>
        <sz val="11"/>
        <color rgb="FF000000"/>
        <rFont val="Linux Libertine G"/>
        <family val="2"/>
        <charset val="1"/>
      </rPr>
      <t xml:space="preserve">+1,000K</t>
    </r>
    <r>
      <rPr>
        <sz val="11"/>
        <color rgb="FF000000"/>
        <rFont val="Linux Libertine G"/>
        <family val="2"/>
      </rPr>
      <t xml:space="preserve">，用现金</t>
    </r>
  </si>
  <si>
    <r>
      <rPr>
        <sz val="11"/>
        <color rgb="FF000000"/>
        <rFont val="Linux Libertine G"/>
        <family val="2"/>
      </rPr>
      <t xml:space="preserve">花 </t>
    </r>
    <r>
      <rPr>
        <sz val="11"/>
        <color rgb="FF000000"/>
        <rFont val="Linux Libertine G"/>
        <family val="2"/>
        <charset val="1"/>
      </rPr>
      <t xml:space="preserve">$7,073M</t>
    </r>
  </si>
  <si>
    <t xml:space="preserve">B3</t>
  </si>
  <si>
    <r>
      <rPr>
        <sz val="11"/>
        <color rgb="FF000000"/>
        <rFont val="Linux Libertine G"/>
        <family val="2"/>
      </rPr>
      <t xml:space="preserve">扩产 </t>
    </r>
    <r>
      <rPr>
        <sz val="11"/>
        <color rgb="FF000000"/>
        <rFont val="Linux Libertine G"/>
        <family val="2"/>
        <charset val="1"/>
      </rPr>
      <t xml:space="preserve">+1,000K</t>
    </r>
    <r>
      <rPr>
        <sz val="11"/>
        <color rgb="FF000000"/>
        <rFont val="Linux Libertine G"/>
        <family val="2"/>
      </rPr>
      <t xml:space="preserve">，增发 </t>
    </r>
    <r>
      <rPr>
        <sz val="11"/>
        <color rgb="FF000000"/>
        <rFont val="Linux Libertine G"/>
        <family val="2"/>
        <charset val="1"/>
      </rPr>
      <t xml:space="preserve">$5B</t>
    </r>
  </si>
  <si>
    <r>
      <rPr>
        <sz val="11"/>
        <color rgb="FF000000"/>
        <rFont val="Linux Libertine G"/>
        <family val="2"/>
      </rPr>
      <t xml:space="preserve">股数 </t>
    </r>
    <r>
      <rPr>
        <sz val="11"/>
        <color rgb="FF000000"/>
        <rFont val="Linux Libertine G"/>
        <family val="2"/>
        <charset val="1"/>
      </rPr>
      <t xml:space="preserve">676M → 732M</t>
    </r>
    <r>
      <rPr>
        <sz val="11"/>
        <color rgb="FF000000"/>
        <rFont val="Linux Libertine G"/>
        <family val="2"/>
      </rPr>
      <t xml:space="preserve">，净利不变</t>
    </r>
  </si>
  <si>
    <t xml:space="preserve">B4</t>
  </si>
  <si>
    <r>
      <rPr>
        <sz val="11"/>
        <color rgb="FF000000"/>
        <rFont val="Linux Libertine G"/>
        <family val="2"/>
      </rPr>
      <t xml:space="preserve">扩产 </t>
    </r>
    <r>
      <rPr>
        <sz val="11"/>
        <color rgb="FF000000"/>
        <rFont val="Linux Libertine G"/>
        <family val="2"/>
        <charset val="1"/>
      </rPr>
      <t xml:space="preserve">+1,000K</t>
    </r>
    <r>
      <rPr>
        <sz val="11"/>
        <color rgb="FF000000"/>
        <rFont val="Linux Libertine G"/>
        <family val="2"/>
      </rPr>
      <t xml:space="preserve">，发债 </t>
    </r>
    <r>
      <rPr>
        <sz val="11"/>
        <color rgb="FF000000"/>
        <rFont val="Linux Libertine G"/>
        <family val="2"/>
        <charset val="1"/>
      </rPr>
      <t xml:space="preserve">$5B</t>
    </r>
  </si>
  <si>
    <r>
      <rPr>
        <sz val="11"/>
        <color rgb="FF000000"/>
        <rFont val="Linux Libertine G"/>
        <family val="2"/>
      </rPr>
      <t xml:space="preserve">当年利息 </t>
    </r>
    <r>
      <rPr>
        <sz val="11"/>
        <color rgb="FF000000"/>
        <rFont val="Linux Libertine G"/>
        <family val="2"/>
        <charset val="1"/>
      </rPr>
      <t xml:space="preserve">$225M</t>
    </r>
    <r>
      <rPr>
        <sz val="11"/>
        <color rgb="FF000000"/>
        <rFont val="Linux Libertine G"/>
        <family val="2"/>
      </rPr>
      <t xml:space="preserve">，净利 −</t>
    </r>
    <r>
      <rPr>
        <sz val="11"/>
        <color rgb="FF000000"/>
        <rFont val="Linux Libertine G"/>
        <family val="2"/>
        <charset val="1"/>
      </rPr>
      <t xml:space="preserve">$147M</t>
    </r>
  </si>
  <si>
    <t xml:space="preserve">B5</t>
  </si>
  <si>
    <r>
      <rPr>
        <sz val="11"/>
        <color rgb="FF000000"/>
        <rFont val="Linux Libertine G"/>
        <family val="2"/>
      </rPr>
      <t xml:space="preserve">扩产 </t>
    </r>
    <r>
      <rPr>
        <sz val="11"/>
        <color rgb="FF000000"/>
        <rFont val="Linux Libertine G"/>
        <family val="2"/>
        <charset val="1"/>
      </rPr>
      <t xml:space="preserve">+1,000K</t>
    </r>
    <r>
      <rPr>
        <sz val="11"/>
        <color rgb="FF000000"/>
        <rFont val="Linux Libertine G"/>
        <family val="2"/>
      </rPr>
      <t xml:space="preserve">，买 </t>
    </r>
    <r>
      <rPr>
        <sz val="11"/>
        <color rgb="FF000000"/>
        <rFont val="Linux Libertine G"/>
        <family val="2"/>
        <charset val="1"/>
      </rPr>
      <t xml:space="preserve">$10B </t>
    </r>
    <r>
      <rPr>
        <sz val="11"/>
        <color rgb="FF000000"/>
        <rFont val="Linux Libertine G"/>
        <family val="2"/>
      </rPr>
      <t xml:space="preserve">的 </t>
    </r>
    <r>
      <rPr>
        <sz val="11"/>
        <color rgb="FF000000"/>
        <rFont val="Linux Libertine G"/>
        <family val="2"/>
        <charset val="1"/>
      </rPr>
      <t xml:space="preserve">CD</t>
    </r>
  </si>
  <si>
    <r>
      <rPr>
        <sz val="11"/>
        <color rgb="FF000000"/>
        <rFont val="Linux Libertine G"/>
        <family val="2"/>
      </rPr>
      <t xml:space="preserve">利息收入 </t>
    </r>
    <r>
      <rPr>
        <sz val="11"/>
        <color rgb="FF000000"/>
        <rFont val="Linux Libertine G"/>
        <family val="2"/>
        <charset val="1"/>
      </rPr>
      <t xml:space="preserve">$300M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Linux Libertine G"/>
        <family val="2"/>
        <charset val="1"/>
      </rPr>
      <t xml:space="preserve">CD </t>
    </r>
    <r>
      <rPr>
        <sz val="11"/>
        <color rgb="FF000000"/>
        <rFont val="Linux Libertine G"/>
        <family val="2"/>
      </rPr>
      <t xml:space="preserve">一次最多 </t>
    </r>
    <r>
      <rPr>
        <sz val="11"/>
        <color rgb="FF000000"/>
        <rFont val="Linux Libertine G"/>
        <family val="2"/>
        <charset val="1"/>
      </rPr>
      <t xml:space="preserve">$10,000M</t>
    </r>
  </si>
  <si>
    <t xml:space="preserve">B6</t>
  </si>
  <si>
    <r>
      <rPr>
        <sz val="11"/>
        <color rgb="FF000000"/>
        <rFont val="Linux Libertine G"/>
        <family val="2"/>
      </rPr>
      <t xml:space="preserve">扩产 </t>
    </r>
    <r>
      <rPr>
        <sz val="11"/>
        <color rgb="FF000000"/>
        <rFont val="Linux Libertine G"/>
        <family val="2"/>
        <charset val="1"/>
      </rPr>
      <t xml:space="preserve">+1,000K</t>
    </r>
    <r>
      <rPr>
        <sz val="11"/>
        <color rgb="FF000000"/>
        <rFont val="Linux Libertine G"/>
        <family val="2"/>
      </rPr>
      <t xml:space="preserve">，分红 </t>
    </r>
    <r>
      <rPr>
        <sz val="11"/>
        <color rgb="FF000000"/>
        <rFont val="Linux Libertine G"/>
        <family val="2"/>
        <charset val="1"/>
      </rPr>
      <t xml:space="preserve">$3B</t>
    </r>
  </si>
  <si>
    <t xml:space="preserve">分红不影响净利；对股价的影响看不出来</t>
  </si>
  <si>
    <t xml:space="preserve">正式比赛变数记录：和练习轮不一样的地方（每一期开局和出结果后都要补）</t>
  </si>
  <si>
    <r>
      <rPr>
        <i val="true"/>
        <sz val="11"/>
        <color rgb="FF595959"/>
        <rFont val="Linux Libertine G"/>
        <family val="2"/>
      </rPr>
      <t xml:space="preserve">🆕 新发现，已经照着调整了　⚠️ 和练习轮不一样，要盯着　⏳ 还没结果　✔️ 和练习轮一样，练习轮的结论可以继续用。和 </t>
    </r>
    <r>
      <rPr>
        <i val="true"/>
        <sz val="11"/>
        <color rgb="FF595959"/>
        <rFont val="Linux Libertine G"/>
        <family val="2"/>
        <charset val="1"/>
      </rPr>
      <t xml:space="preserve">md </t>
    </r>
    <r>
      <rPr>
        <i val="true"/>
        <sz val="11"/>
        <color rgb="FF595959"/>
        <rFont val="Linux Libertine G"/>
        <family val="2"/>
      </rPr>
      <t xml:space="preserve">第 </t>
    </r>
    <r>
      <rPr>
        <i val="true"/>
        <sz val="11"/>
        <color rgb="FF595959"/>
        <rFont val="Linux Libertine G"/>
        <family val="2"/>
        <charset val="1"/>
      </rPr>
      <t xml:space="preserve">0d </t>
    </r>
    <r>
      <rPr>
        <i val="true"/>
        <sz val="11"/>
        <color rgb="FF595959"/>
        <rFont val="Linux Libertine G"/>
        <family val="2"/>
      </rPr>
      <t xml:space="preserve">节同步。</t>
    </r>
  </si>
  <si>
    <t xml:space="preserve">日期</t>
  </si>
  <si>
    <t xml:space="preserve">练习轮</t>
  </si>
  <si>
    <t xml:space="preserve">怎么应对</t>
  </si>
  <si>
    <t xml:space="preserve">10/11</t>
  </si>
  <si>
    <t xml:space="preserve">D1</t>
  </si>
  <si>
    <t xml:space="preserve">截止时间</t>
  </si>
  <si>
    <r>
      <rPr>
        <sz val="11"/>
        <rFont val="Linux Libertine G"/>
        <family val="2"/>
        <charset val="1"/>
      </rPr>
      <t xml:space="preserve">Decision 1 </t>
    </r>
    <r>
      <rPr>
        <sz val="11"/>
        <rFont val="Linux Libertine G"/>
        <family val="2"/>
      </rPr>
      <t xml:space="preserve">原定 </t>
    </r>
    <r>
      <rPr>
        <sz val="11"/>
        <rFont val="Linux Libertine G"/>
        <family val="2"/>
        <charset val="1"/>
      </rPr>
      <t xml:space="preserve">10/12</t>
    </r>
  </si>
  <si>
    <r>
      <rPr>
        <sz val="11"/>
        <rFont val="Linux Libertine G"/>
        <family val="2"/>
      </rPr>
      <t xml:space="preserve">改成 </t>
    </r>
    <r>
      <rPr>
        <sz val="11"/>
        <rFont val="Linux Libertine G"/>
        <family val="2"/>
        <charset val="1"/>
      </rPr>
      <t xml:space="preserve">10/14 </t>
    </r>
    <r>
      <rPr>
        <sz val="11"/>
        <rFont val="Linux Libertine G"/>
        <family val="2"/>
      </rPr>
      <t xml:space="preserve">晚 </t>
    </r>
    <r>
      <rPr>
        <sz val="11"/>
        <rFont val="Linux Libertine G"/>
        <family val="2"/>
        <charset val="1"/>
      </rPr>
      <t xml:space="preserve">11:59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D2–D6 </t>
    </r>
    <r>
      <rPr>
        <sz val="11"/>
        <rFont val="Linux Libertine G"/>
        <family val="2"/>
      </rPr>
      <t xml:space="preserve">不变）</t>
    </r>
  </si>
  <si>
    <r>
      <rPr>
        <sz val="11"/>
        <rFont val="Linux Libertine G"/>
        <family val="2"/>
        <charset val="1"/>
      </rPr>
      <t xml:space="preserve">10/14 </t>
    </r>
    <r>
      <rPr>
        <sz val="11"/>
        <rFont val="Linux Libertine G"/>
        <family val="2"/>
      </rPr>
      <t xml:space="preserve">前再看一遍 </t>
    </r>
    <r>
      <rPr>
        <sz val="11"/>
        <rFont val="Linux Libertine G"/>
        <family val="2"/>
        <charset val="1"/>
      </rPr>
      <t xml:space="preserve">Decision Log</t>
    </r>
  </si>
  <si>
    <t xml:space="preserve">🆕</t>
  </si>
  <si>
    <t xml:space="preserve">开局数据</t>
  </si>
  <si>
    <r>
      <rPr>
        <sz val="11"/>
        <rFont val="Linux Libertine G"/>
        <family val="2"/>
        <charset val="1"/>
      </rPr>
      <t xml:space="preserve">Cafav 703K / Cameo 304K / Crash 444K</t>
    </r>
    <r>
      <rPr>
        <sz val="11"/>
        <rFont val="Linux Libertine G"/>
        <family val="2"/>
      </rPr>
      <t xml:space="preserve">，产能 </t>
    </r>
    <r>
      <rPr>
        <sz val="11"/>
        <rFont val="Linux Libertine G"/>
        <family val="2"/>
        <charset val="1"/>
      </rPr>
      <t xml:space="preserve">1,000K</t>
    </r>
    <r>
      <rPr>
        <sz val="11"/>
        <rFont val="Linux Libertine G"/>
        <family val="2"/>
      </rPr>
      <t xml:space="preserve">，短贷 </t>
    </r>
    <r>
      <rPr>
        <sz val="11"/>
        <rFont val="Linux Libertine G"/>
        <family val="2"/>
        <charset val="1"/>
      </rPr>
      <t xml:space="preserve">$6,660M</t>
    </r>
  </si>
  <si>
    <t xml:space="preserve">完全一样</t>
  </si>
  <si>
    <t xml:space="preserve">练习轮的开局分析可以直接用</t>
  </si>
  <si>
    <t xml:space="preserve">✔️</t>
  </si>
  <si>
    <r>
      <rPr>
        <sz val="11"/>
        <rFont val="Linux Libertine G"/>
        <family val="2"/>
        <charset val="1"/>
      </rPr>
      <t xml:space="preserve">Start </t>
    </r>
    <r>
      <rPr>
        <sz val="11"/>
        <rFont val="Linux Libertine G"/>
        <family val="2"/>
      </rPr>
      <t xml:space="preserve">的价格</t>
    </r>
  </si>
  <si>
    <r>
      <rPr>
        <sz val="11"/>
        <rFont val="Linux Libertine G"/>
        <family val="2"/>
      </rPr>
      <t xml:space="preserve">记录里写的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价格 </t>
    </r>
    <r>
      <rPr>
        <sz val="11"/>
        <rFont val="Linux Libertine G"/>
        <family val="2"/>
        <charset val="1"/>
      </rPr>
      <t xml:space="preserve">$20,750 / $11,850 / $20,900</t>
    </r>
  </si>
  <si>
    <r>
      <rPr>
        <sz val="11"/>
        <rFont val="Linux Libertine G"/>
        <family val="2"/>
        <charset val="1"/>
      </rPr>
      <t xml:space="preserve">Start </t>
    </r>
    <r>
      <rPr>
        <sz val="11"/>
        <rFont val="Linux Libertine G"/>
        <family val="2"/>
      </rPr>
      <t xml:space="preserve">价是 </t>
    </r>
    <r>
      <rPr>
        <sz val="11"/>
        <rFont val="Linux Libertine G"/>
        <family val="2"/>
        <charset val="1"/>
      </rPr>
      <t xml:space="preserve">$20,350 / $11,492 / $20,498</t>
    </r>
    <r>
      <rPr>
        <sz val="11"/>
        <rFont val="Linux Libertine G"/>
        <family val="2"/>
      </rPr>
      <t xml:space="preserve">；练习轮记的是我们当年提价后的价格</t>
    </r>
  </si>
  <si>
    <r>
      <rPr>
        <sz val="11"/>
        <rFont val="Linux Libertine G"/>
        <family val="2"/>
      </rPr>
      <t xml:space="preserve">以后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以系统显示的为准</t>
    </r>
  </si>
  <si>
    <t xml:space="preserve">🆕（更正记录）</t>
  </si>
  <si>
    <t xml:space="preserve">新建研发中心</t>
  </si>
  <si>
    <r>
      <rPr>
        <sz val="11"/>
        <rFont val="Linux Libertine G"/>
        <family val="2"/>
      </rPr>
      <t xml:space="preserve">计划第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年建第 </t>
    </r>
    <r>
      <rPr>
        <sz val="11"/>
        <rFont val="Linux Libertine G"/>
        <family val="2"/>
        <charset val="1"/>
      </rPr>
      <t xml:space="preserve">3</t>
    </r>
    <r>
      <rPr>
        <sz val="11"/>
        <rFont val="Linux Libertine G"/>
        <family val="2"/>
      </rPr>
      <t xml:space="preserve">、第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个</t>
    </r>
  </si>
  <si>
    <r>
      <rPr>
        <sz val="11"/>
        <rFont val="Linux Libertine G"/>
        <family val="2"/>
      </rPr>
      <t xml:space="preserve">系统每年只能建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个</t>
    </r>
  </si>
  <si>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只能放 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或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其中一个 </t>
    </r>
    <r>
      <rPr>
        <sz val="11"/>
        <rFont val="Linux Libertine G"/>
        <family val="2"/>
        <charset val="1"/>
      </rPr>
      <t xml:space="preserve">major</t>
    </r>
    <r>
      <rPr>
        <sz val="11"/>
        <rFont val="Linux Libertine G"/>
        <family val="2"/>
      </rPr>
      <t xml:space="preserve">；第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个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再建</t>
    </r>
  </si>
  <si>
    <t xml:space="preserve">细分市场偏好</t>
  </si>
  <si>
    <r>
      <rPr>
        <sz val="11"/>
        <rFont val="Linux Libertine G"/>
        <family val="2"/>
        <charset val="1"/>
      </rPr>
      <t xml:space="preserve">3T </t>
    </r>
    <r>
      <rPr>
        <sz val="11"/>
        <rFont val="Linux Libertine G"/>
        <family val="2"/>
      </rPr>
      <t xml:space="preserve">尺寸偏好 </t>
    </r>
    <r>
      <rPr>
        <sz val="11"/>
        <rFont val="Linux Libertine G"/>
        <family val="2"/>
        <charset val="1"/>
      </rPr>
      <t xml:space="preserve">57–77</t>
    </r>
    <r>
      <rPr>
        <sz val="11"/>
        <rFont val="Linux Libertine G"/>
        <family val="2"/>
      </rPr>
      <t xml:space="preserve">（练习轮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的数据）</t>
    </r>
  </si>
  <si>
    <r>
      <rPr>
        <sz val="11"/>
        <rFont val="Linux Libertine G"/>
        <family val="2"/>
      </rPr>
      <t xml:space="preserve">现在是 </t>
    </r>
    <r>
      <rPr>
        <sz val="11"/>
        <rFont val="Linux Libertine G"/>
        <family val="2"/>
        <charset val="1"/>
      </rPr>
      <t xml:space="preserve">54–74</t>
    </r>
    <r>
      <rPr>
        <sz val="11"/>
        <rFont val="Linux Libertine G"/>
        <family val="2"/>
      </rPr>
      <t xml:space="preserve">，偏好每年都在漂移</t>
    </r>
  </si>
  <si>
    <r>
      <rPr>
        <sz val="11"/>
        <rFont val="Linux Libertine G"/>
        <family val="2"/>
        <charset val="1"/>
      </rPr>
      <t xml:space="preserve">major </t>
    </r>
    <r>
      <rPr>
        <sz val="11"/>
        <rFont val="Linux Libertine G"/>
        <family val="2"/>
      </rPr>
      <t xml:space="preserve">瞄准“上市那年”的中间值，每年重新看 </t>
    </r>
    <r>
      <rPr>
        <sz val="11"/>
        <rFont val="Linux Libertine G"/>
        <family val="2"/>
        <charset val="1"/>
      </rPr>
      <t xml:space="preserve">Microsegment</t>
    </r>
  </si>
  <si>
    <t xml:space="preserve">超产能费</t>
  </si>
  <si>
    <r>
      <rPr>
        <sz val="11"/>
        <rFont val="Linux Libertine G"/>
        <family val="2"/>
      </rPr>
      <t xml:space="preserve">练习轮 </t>
    </r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：超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$2,200 / </t>
    </r>
    <r>
      <rPr>
        <sz val="11"/>
        <rFont val="Linux Libertine G"/>
        <family val="2"/>
      </rPr>
      <t xml:space="preserve">辆</t>
    </r>
  </si>
  <si>
    <r>
      <rPr>
        <sz val="11"/>
        <rFont val="Linux Libertine G"/>
        <family val="2"/>
        <charset val="1"/>
      </rPr>
      <t xml:space="preserve">1,100K </t>
    </r>
    <r>
      <rPr>
        <sz val="11"/>
        <rFont val="Linux Libertine G"/>
        <family val="2"/>
      </rPr>
      <t xml:space="preserve">时 </t>
    </r>
    <r>
      <rPr>
        <sz val="11"/>
        <rFont val="Linux Libertine G"/>
        <family val="2"/>
        <charset val="1"/>
      </rPr>
      <t xml:space="preserve">$221M</t>
    </r>
    <r>
      <rPr>
        <sz val="11"/>
        <rFont val="Linux Libertine G"/>
        <family val="2"/>
      </rPr>
      <t xml:space="preserve">（约 </t>
    </r>
    <r>
      <rPr>
        <sz val="11"/>
        <rFont val="Linux Libertine G"/>
        <family val="2"/>
        <charset val="1"/>
      </rPr>
      <t xml:space="preserve">$2,200 / </t>
    </r>
    <r>
      <rPr>
        <sz val="11"/>
        <rFont val="Linux Libertine G"/>
        <family val="2"/>
      </rPr>
      <t xml:space="preserve">辆），</t>
    </r>
    <r>
      <rPr>
        <sz val="11"/>
        <rFont val="Linux Libertine G"/>
        <family val="2"/>
        <charset val="1"/>
      </rPr>
      <t xml:space="preserve">1,200K </t>
    </r>
    <r>
      <rPr>
        <sz val="11"/>
        <rFont val="Linux Libertine G"/>
        <family val="2"/>
      </rPr>
      <t xml:space="preserve">时 </t>
    </r>
    <r>
      <rPr>
        <sz val="11"/>
        <rFont val="Linux Libertine G"/>
        <family val="2"/>
        <charset val="1"/>
      </rPr>
      <t xml:space="preserve">$498M</t>
    </r>
  </si>
  <si>
    <t xml:space="preserve">曲线一样，练习轮的结论能用</t>
  </si>
  <si>
    <t xml:space="preserve">营销的效果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</si>
  <si>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测试：缺货时广告加倍反而 −</t>
    </r>
    <r>
      <rPr>
        <sz val="11"/>
        <rFont val="Linux Libertine G"/>
        <family val="2"/>
        <charset val="1"/>
      </rPr>
      <t xml:space="preserve">$190M</t>
    </r>
  </si>
  <si>
    <r>
      <rPr>
        <sz val="11"/>
        <rFont val="Linux Libertine G"/>
        <family val="2"/>
        <charset val="1"/>
      </rPr>
      <t xml:space="preserve">Y1 Test Market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时广告加倍，份额 </t>
    </r>
    <r>
      <rPr>
        <sz val="11"/>
        <rFont val="Linux Libertine G"/>
        <family val="2"/>
        <charset val="1"/>
      </rPr>
      <t xml:space="preserve">4.5% → 5.3%</t>
    </r>
    <r>
      <rPr>
        <sz val="11"/>
        <rFont val="Linux Libertine G"/>
        <family val="2"/>
      </rPr>
      <t xml:space="preserve">，贡献最高</t>
    </r>
  </si>
  <si>
    <t xml:space="preserve">这一年按测试加倍了广告；出结果后看实际份额</t>
  </si>
  <si>
    <t xml:space="preserve">⚠️⏳</t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</si>
  <si>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Concept Test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</si>
  <si>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64 / 200 HP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$31K </t>
    </r>
    <r>
      <rPr>
        <sz val="11"/>
        <rFont val="Linux Libertine G"/>
        <family val="2"/>
      </rPr>
      <t xml:space="preserve">是 </t>
    </r>
    <r>
      <rPr>
        <sz val="11"/>
        <rFont val="Linux Libertine G"/>
        <family val="2"/>
        <charset val="1"/>
      </rPr>
      <t xml:space="preserve">65.8%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HP </t>
    </r>
    <r>
      <rPr>
        <sz val="11"/>
        <rFont val="Linux Libertine G"/>
        <family val="2"/>
      </rPr>
      <t xml:space="preserve">被评 </t>
    </r>
    <r>
      <rPr>
        <sz val="11"/>
        <rFont val="Linux Libertine G"/>
        <family val="2"/>
        <charset val="1"/>
      </rPr>
      <t xml:space="preserve">sluggish</t>
    </r>
  </si>
  <si>
    <r>
      <rPr>
        <sz val="11"/>
        <rFont val="Linux Libertine G"/>
        <family val="2"/>
        <charset val="1"/>
      </rPr>
      <t xml:space="preserve">66 / 245 HP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$31K </t>
    </r>
    <r>
      <rPr>
        <sz val="11"/>
        <rFont val="Linux Libertine G"/>
        <family val="2"/>
      </rPr>
      <t xml:space="preserve">是 </t>
    </r>
    <r>
      <rPr>
        <sz val="11"/>
        <rFont val="Linux Libertine G"/>
        <family val="2"/>
        <charset val="1"/>
      </rPr>
      <t xml:space="preserve">81.6%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$35K </t>
    </r>
    <r>
      <rPr>
        <sz val="11"/>
        <rFont val="Linux Libertine G"/>
        <family val="2"/>
      </rPr>
      <t xml:space="preserve">是 </t>
    </r>
    <r>
      <rPr>
        <sz val="11"/>
        <rFont val="Linux Libertine G"/>
        <family val="2"/>
        <charset val="1"/>
      </rPr>
      <t xml:space="preserve">80.5%</t>
    </r>
  </si>
  <si>
    <r>
      <rPr>
        <sz val="11"/>
        <rFont val="Linux Libertine G"/>
        <family val="2"/>
        <charset val="1"/>
      </rPr>
      <t xml:space="preserve">HP </t>
    </r>
    <r>
      <rPr>
        <sz val="11"/>
        <rFont val="Linux Libertine G"/>
        <family val="2"/>
      </rPr>
      <t xml:space="preserve">定 </t>
    </r>
    <r>
      <rPr>
        <sz val="11"/>
        <rFont val="Linux Libertine G"/>
        <family val="2"/>
        <charset val="1"/>
      </rPr>
      <t xml:space="preserve">245</t>
    </r>
    <r>
      <rPr>
        <sz val="11"/>
        <rFont val="Linux Libertine G"/>
        <family val="2"/>
      </rPr>
      <t xml:space="preserve">；价格还是不敏感</t>
    </r>
  </si>
  <si>
    <t xml:space="preserve">✔️（更好）</t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</si>
  <si>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新版的 </t>
    </r>
    <r>
      <rPr>
        <sz val="11"/>
        <rFont val="Linux Libertine G"/>
        <family val="2"/>
        <charset val="1"/>
      </rPr>
      <t xml:space="preserve">Concept Test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</si>
  <si>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38 </t>
    </r>
    <r>
      <rPr>
        <sz val="11"/>
        <rFont val="Linux Libertine G"/>
        <family val="2"/>
      </rPr>
      <t xml:space="preserve">尺寸 </t>
    </r>
    <r>
      <rPr>
        <sz val="11"/>
        <rFont val="Linux Libertine G"/>
        <family val="2"/>
        <charset val="1"/>
      </rPr>
      <t xml:space="preserve">$21,500 → 14.2%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$23,000 → 3.7%</t>
    </r>
  </si>
  <si>
    <r>
      <rPr>
        <sz val="11"/>
        <rFont val="Linux Libertine G"/>
        <family val="2"/>
        <charset val="1"/>
      </rPr>
      <t xml:space="preserve">38 / Sf4 / Q3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$20,500 → 20.6%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$21,500 → 12.2%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$22,500 → 9.7%</t>
    </r>
  </si>
  <si>
    <r>
      <rPr>
        <sz val="11"/>
        <rFont val="Linux Libertine G"/>
        <family val="2"/>
      </rPr>
      <t xml:space="preserve">断崖还在 </t>
    </r>
    <r>
      <rPr>
        <sz val="11"/>
        <rFont val="Linux Libertine G"/>
        <family val="2"/>
        <charset val="1"/>
      </rPr>
      <t xml:space="preserve">$21–22K </t>
    </r>
    <r>
      <rPr>
        <sz val="11"/>
        <rFont val="Linux Libertine G"/>
        <family val="2"/>
      </rPr>
      <t xml:space="preserve">附近，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定价要小心</t>
    </r>
  </si>
  <si>
    <t xml:space="preserve">10/16</t>
  </si>
  <si>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结果</t>
    </r>
  </si>
  <si>
    <t xml:space="preserve">对手动向</t>
  </si>
  <si>
    <r>
      <rPr>
        <sz val="11"/>
        <rFont val="Linux Libertine G"/>
        <family val="2"/>
      </rPr>
      <t xml:space="preserve">练习轮各家第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年动作不大，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才宣布做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</si>
  <si>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</rPr>
      <t xml:space="preserve">对手都练过了：</t>
    </r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都建了第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个研发中心（只有 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没建）；</t>
    </r>
    <r>
      <rPr>
        <sz val="11"/>
        <rFont val="Linux Libertine G"/>
        <family val="2"/>
        <charset val="1"/>
      </rPr>
      <t xml:space="preserve">A </t>
    </r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Alfa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2F </t>
    </r>
    <r>
      <rPr>
        <sz val="11"/>
        <rFont val="Linux Libertine G"/>
        <family val="2"/>
      </rPr>
      <t xml:space="preserve">第一）、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Defy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Dusty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Dusty $24,000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第一）、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升级 </t>
    </r>
    <r>
      <rPr>
        <sz val="11"/>
        <rFont val="Linux Libertine G"/>
        <family val="2"/>
        <charset val="1"/>
      </rPr>
      <t xml:space="preserve">Gas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Gone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Gone 3T </t>
    </r>
    <r>
      <rPr>
        <sz val="11"/>
        <rFont val="Linux Libertine G"/>
        <family val="2"/>
      </rPr>
      <t xml:space="preserve">第一）；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研发费最高（</t>
    </r>
    <r>
      <rPr>
        <sz val="11"/>
        <rFont val="Linux Libertine G"/>
        <family val="2"/>
        <charset val="1"/>
      </rPr>
      <t xml:space="preserve">$1,965M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</si>
  <si>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还没有一家有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车；盯住 </t>
    </r>
    <r>
      <rPr>
        <sz val="11"/>
        <rFont val="Linux Libertine G"/>
        <family val="2"/>
        <charset val="1"/>
      </rPr>
      <t xml:space="preserve">F 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</si>
  <si>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t xml:space="preserve">全行业实际销量</t>
  </si>
  <si>
    <r>
      <rPr>
        <sz val="11"/>
        <rFont val="Linux Libertine G"/>
        <family val="2"/>
        <charset val="1"/>
      </rPr>
      <t xml:space="preserve">Y2 10,078K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Y3 10,339K</t>
    </r>
  </si>
  <si>
    <r>
      <rPr>
        <sz val="11"/>
        <rFont val="Linux Libertine G"/>
        <family val="2"/>
        <charset val="1"/>
      </rPr>
      <t xml:space="preserve">8,961K</t>
    </r>
    <r>
      <rPr>
        <sz val="11"/>
        <rFont val="Linux Libertine G"/>
        <family val="2"/>
      </rPr>
      <t xml:space="preserve">（−</t>
    </r>
    <r>
      <rPr>
        <sz val="11"/>
        <rFont val="Linux Libertine G"/>
        <family val="2"/>
        <charset val="1"/>
      </rPr>
      <t xml:space="preserve">13.1%</t>
    </r>
    <r>
      <rPr>
        <sz val="11"/>
        <rFont val="Linux Libertine G"/>
        <family val="2"/>
      </rPr>
      <t xml:space="preserve">），比预测少 </t>
    </r>
    <r>
      <rPr>
        <sz val="11"/>
        <rFont val="Linux Libertine G"/>
        <family val="2"/>
        <charset val="1"/>
      </rPr>
      <t xml:space="preserve">15%</t>
    </r>
    <r>
      <rPr>
        <sz val="11"/>
        <rFont val="Linux Libertine G"/>
        <family val="2"/>
      </rPr>
      <t xml:space="preserve">，比我们假设的 </t>
    </r>
    <r>
      <rPr>
        <sz val="11"/>
        <rFont val="Linux Libertine G"/>
        <family val="2"/>
        <charset val="1"/>
      </rPr>
      <t xml:space="preserve">10,100K </t>
    </r>
    <r>
      <rPr>
        <sz val="11"/>
        <rFont val="Linux Libertine G"/>
        <family val="2"/>
      </rPr>
      <t xml:space="preserve">少 </t>
    </r>
    <r>
      <rPr>
        <sz val="11"/>
        <rFont val="Linux Libertine G"/>
        <family val="2"/>
        <charset val="1"/>
      </rPr>
      <t xml:space="preserve">11%</t>
    </r>
  </si>
  <si>
    <r>
      <rPr>
        <sz val="11"/>
        <rFont val="Linux Libertine G"/>
        <family val="2"/>
      </rPr>
      <t xml:space="preserve">按“全行业产能 </t>
    </r>
    <r>
      <rPr>
        <sz val="11"/>
        <rFont val="Linux Libertine G"/>
        <family val="2"/>
        <charset val="1"/>
      </rPr>
      <t xml:space="preserve">×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110%”</t>
    </r>
    <r>
      <rPr>
        <sz val="11"/>
        <rFont val="Linux Libertine G"/>
        <family val="2"/>
      </rPr>
      <t xml:space="preserve">估；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全行业产能约 </t>
    </r>
    <r>
      <rPr>
        <sz val="11"/>
        <rFont val="Linux Libertine G"/>
        <family val="2"/>
        <charset val="1"/>
      </rPr>
      <t xml:space="preserve">9,400K 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</si>
  <si>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t xml:space="preserve">增发对股价的影响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</si>
  <si>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增发后股价都涨了</t>
    </r>
  </si>
  <si>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20% </t>
    </r>
    <r>
      <rPr>
        <sz val="11"/>
        <rFont val="Linux Libertine G"/>
        <family val="2"/>
      </rPr>
      <t xml:space="preserve">后股价仍 </t>
    </r>
    <r>
      <rPr>
        <sz val="11"/>
        <rFont val="Linux Libertine G"/>
        <family val="2"/>
        <charset val="1"/>
      </rPr>
      <t xml:space="preserve">+8.3%</t>
    </r>
    <r>
      <rPr>
        <sz val="11"/>
        <rFont val="Linux Libertine G"/>
        <family val="2"/>
      </rPr>
      <t xml:space="preserve">，市值 </t>
    </r>
    <r>
      <rPr>
        <sz val="11"/>
        <rFont val="Linux Libertine G"/>
        <family val="2"/>
        <charset val="1"/>
      </rPr>
      <t xml:space="preserve">+30%</t>
    </r>
  </si>
  <si>
    <r>
      <rPr>
        <sz val="11"/>
        <rFont val="Linux Libertine G"/>
        <family val="2"/>
      </rPr>
      <t xml:space="preserve">没有稀释股价；但 </t>
    </r>
    <r>
      <rPr>
        <sz val="11"/>
        <rFont val="Linux Libertine G"/>
        <family val="2"/>
        <charset val="1"/>
      </rPr>
      <t xml:space="preserve">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也都增发了，已经不是优势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</si>
  <si>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份额预测</t>
    </r>
  </si>
  <si>
    <r>
      <rPr>
        <sz val="11"/>
        <rFont val="Linux Libertine G"/>
        <family val="2"/>
      </rPr>
      <t xml:space="preserve">练习轮误差 ≤ </t>
    </r>
    <r>
      <rPr>
        <sz val="11"/>
        <rFont val="Linux Libertine G"/>
        <family val="2"/>
        <charset val="1"/>
      </rPr>
      <t xml:space="preserve">0.4 </t>
    </r>
    <r>
      <rPr>
        <sz val="11"/>
        <rFont val="Linux Libertine G"/>
        <family val="2"/>
      </rPr>
      <t xml:space="preserve">个百分点</t>
    </r>
  </si>
  <si>
    <r>
      <rPr>
        <sz val="11"/>
        <rFont val="Linux Libertine G"/>
        <family val="2"/>
      </rPr>
      <t xml:space="preserve">实际份额都比预测高 </t>
    </r>
    <r>
      <rPr>
        <sz val="11"/>
        <rFont val="Linux Libertine G"/>
        <family val="2"/>
        <charset val="1"/>
      </rPr>
      <t xml:space="preserve">0.5–0.8 </t>
    </r>
    <r>
      <rPr>
        <sz val="11"/>
        <rFont val="Linux Libertine G"/>
        <family val="2"/>
      </rPr>
      <t xml:space="preserve">个百分点（</t>
    </r>
    <r>
      <rPr>
        <sz val="11"/>
        <rFont val="Linux Libertine G"/>
        <family val="2"/>
        <charset val="1"/>
      </rPr>
      <t xml:space="preserve">Cafav 6.0% vs 5.3%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4.9% vs 4.1%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3.4% vs 2.9%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</si>
  <si>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假设对手不改价，对手都提价了；全行业都缺货时，测出来的价格再往上加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</si>
  <si>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：营销翻倍，偏好度 </t>
    </r>
    <r>
      <rPr>
        <sz val="11"/>
        <rFont val="Linux Libertine G"/>
        <family val="2"/>
        <charset val="1"/>
      </rPr>
      <t xml:space="preserve">10.8% → 20.4%</t>
    </r>
  </si>
  <si>
    <r>
      <rPr>
        <sz val="11"/>
        <rFont val="Linux Libertine G"/>
        <family val="2"/>
      </rPr>
      <t xml:space="preserve">营销 </t>
    </r>
    <r>
      <rPr>
        <sz val="11"/>
        <rFont val="Linux Libertine G"/>
        <family val="2"/>
        <charset val="1"/>
      </rPr>
      <t xml:space="preserve">$395M</t>
    </r>
    <r>
      <rPr>
        <sz val="11"/>
        <rFont val="Linux Libertine G"/>
        <family val="2"/>
      </rPr>
      <t xml:space="preserve">（第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多），偏好度 </t>
    </r>
    <r>
      <rPr>
        <sz val="11"/>
        <rFont val="Linux Libertine G"/>
        <family val="2"/>
        <charset val="1"/>
      </rPr>
      <t xml:space="preserve">14.3% → 12.4%</t>
    </r>
    <r>
      <rPr>
        <sz val="11"/>
        <rFont val="Linux Libertine G"/>
        <family val="2"/>
      </rPr>
      <t xml:space="preserve">（第 </t>
    </r>
    <r>
      <rPr>
        <sz val="11"/>
        <rFont val="Linux Libertine G"/>
        <family val="2"/>
        <charset val="1"/>
      </rPr>
      <t xml:space="preserve">5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只花约 </t>
    </r>
    <r>
      <rPr>
        <sz val="11"/>
        <rFont val="Linux Libertine G"/>
        <family val="2"/>
        <charset val="1"/>
      </rPr>
      <t xml:space="preserve">$216M</t>
    </r>
    <r>
      <rPr>
        <sz val="11"/>
        <rFont val="Linux Libertine G"/>
        <family val="2"/>
      </rPr>
      <t xml:space="preserve">，却是 </t>
    </r>
    <r>
      <rPr>
        <sz val="11"/>
        <rFont val="Linux Libertine G"/>
        <family val="2"/>
        <charset val="1"/>
      </rPr>
      <t xml:space="preserve">20.3%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19.4%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</si>
  <si>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主要看今年有没有新车或升级车上市（</t>
    </r>
    <r>
      <rPr>
        <sz val="11"/>
        <rFont val="Linux Libertine G"/>
        <family val="2"/>
        <charset val="1"/>
      </rPr>
      <t xml:space="preserve">D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各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款，</t>
    </r>
    <r>
      <rPr>
        <sz val="11"/>
        <rFont val="Linux Libertine G"/>
        <family val="2"/>
        <charset val="1"/>
      </rPr>
      <t xml:space="preserve">A 1 </t>
    </r>
    <r>
      <rPr>
        <sz val="11"/>
        <rFont val="Linux Libertine G"/>
        <family val="2"/>
      </rPr>
      <t xml:space="preserve">款，其余 </t>
    </r>
    <r>
      <rPr>
        <sz val="11"/>
        <rFont val="Linux Libertine G"/>
        <family val="2"/>
        <charset val="1"/>
      </rPr>
      <t xml:space="preserve">0 </t>
    </r>
    <r>
      <rPr>
        <sz val="11"/>
        <rFont val="Linux Libertine G"/>
        <family val="2"/>
      </rPr>
      <t xml:space="preserve">款），和营销费没有明显关系</t>
    </r>
  </si>
  <si>
    <t xml:space="preserve">Flex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</si>
  <si>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自动多产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，超产 </t>
    </r>
    <r>
      <rPr>
        <sz val="11"/>
        <rFont val="Linux Libertine G"/>
        <family val="2"/>
        <charset val="1"/>
      </rPr>
      <t xml:space="preserve">7%</t>
    </r>
  </si>
  <si>
    <r>
      <rPr>
        <sz val="11"/>
        <rFont val="Linux Libertine G"/>
        <family val="2"/>
      </rPr>
      <t xml:space="preserve">排 </t>
    </r>
    <r>
      <rPr>
        <sz val="11"/>
        <rFont val="Linux Libertine G"/>
        <family val="2"/>
        <charset val="1"/>
      </rPr>
      <t xml:space="preserve">1,095K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加到 </t>
    </r>
    <r>
      <rPr>
        <sz val="11"/>
        <rFont val="Linux Libertine G"/>
        <family val="2"/>
        <charset val="1"/>
      </rPr>
      <t xml:space="preserve">1,174K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117%</t>
    </r>
    <r>
      <rPr>
        <sz val="11"/>
        <rFont val="Linux Libertine G"/>
        <family val="2"/>
      </rPr>
      <t xml:space="preserve">），超产能费 </t>
    </r>
    <r>
      <rPr>
        <sz val="11"/>
        <rFont val="Linux Libertine G"/>
        <family val="2"/>
        <charset val="1"/>
      </rPr>
      <t xml:space="preserve">$421M</t>
    </r>
  </si>
  <si>
    <r>
      <rPr>
        <sz val="11"/>
        <rFont val="Linux Libertine G"/>
        <family val="2"/>
      </rPr>
      <t xml:space="preserve">多卖的车总体赚钱（约 </t>
    </r>
    <r>
      <rPr>
        <sz val="11"/>
        <rFont val="Linux Libertine G"/>
        <family val="2"/>
        <charset val="1"/>
      </rPr>
      <t xml:space="preserve">+$1.9 </t>
    </r>
    <r>
      <rPr>
        <sz val="11"/>
        <rFont val="Linux Libertine G"/>
        <family val="2"/>
      </rPr>
      <t xml:space="preserve">亿），但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多产的部分亏钱；规则：单车毛利低于超产边际成本的车才关 </t>
    </r>
    <r>
      <rPr>
        <sz val="11"/>
        <rFont val="Linux Libertine G"/>
        <family val="2"/>
        <charset val="1"/>
      </rPr>
      <t xml:space="preserve">Flex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Y2 Cameo </t>
    </r>
    <r>
      <rPr>
        <sz val="11"/>
        <rFont val="Linux Libertine G"/>
        <family val="2"/>
      </rPr>
      <t xml:space="preserve">提价后毛利 </t>
    </r>
    <r>
      <rPr>
        <sz val="11"/>
        <rFont val="Linux Libertine G"/>
        <family val="2"/>
        <charset val="1"/>
      </rPr>
      <t xml:space="preserve">$3,160</t>
    </r>
    <r>
      <rPr>
        <sz val="11"/>
        <rFont val="Linux Libertine G"/>
        <family val="2"/>
      </rPr>
      <t xml:space="preserve">，所以没关）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</si>
  <si>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每年高估净利约 </t>
    </r>
    <r>
      <rPr>
        <sz val="11"/>
        <rFont val="Linux Libertine G"/>
        <family val="2"/>
        <charset val="1"/>
      </rPr>
      <t xml:space="preserve">$700M</t>
    </r>
  </si>
  <si>
    <r>
      <rPr>
        <sz val="11"/>
        <rFont val="Linux Libertine G"/>
        <family val="2"/>
      </rPr>
      <t xml:space="preserve">实际净利 </t>
    </r>
    <r>
      <rPr>
        <sz val="11"/>
        <rFont val="Linux Libertine G"/>
        <family val="2"/>
        <charset val="1"/>
      </rPr>
      <t xml:space="preserve">$1,318M</t>
    </r>
    <r>
      <rPr>
        <sz val="11"/>
        <rFont val="Linux Libertine G"/>
        <family val="2"/>
      </rPr>
      <t xml:space="preserve">，比 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高 </t>
    </r>
    <r>
      <rPr>
        <sz val="11"/>
        <rFont val="Linux Libertine G"/>
        <family val="2"/>
        <charset val="1"/>
      </rPr>
      <t xml:space="preserve">$81M</t>
    </r>
  </si>
  <si>
    <r>
      <rPr>
        <sz val="11"/>
        <rFont val="Linux Libertine G"/>
        <family val="2"/>
      </rPr>
      <t xml:space="preserve">按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× </t>
    </r>
    <r>
      <rPr>
        <sz val="11"/>
        <rFont val="Linux Libertine G"/>
        <family val="2"/>
      </rPr>
      <t xml:space="preserve">合理的行业规模填预测，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就准</t>
    </r>
  </si>
  <si>
    <t xml:space="preserve">D2</t>
  </si>
  <si>
    <t xml:space="preserve">扩产上限</t>
  </si>
  <si>
    <r>
      <rPr>
        <sz val="11"/>
        <rFont val="Linux Libertine G"/>
        <family val="2"/>
      </rPr>
      <t xml:space="preserve">练习轮没碰到过（最多一次 </t>
    </r>
    <r>
      <rPr>
        <sz val="11"/>
        <rFont val="Linux Libertine G"/>
        <family val="2"/>
        <charset val="1"/>
      </rPr>
      <t xml:space="preserve">+500K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</si>
  <si>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每年扩产不能超过现有产能的 </t>
    </r>
    <r>
      <rPr>
        <sz val="11"/>
        <rFont val="Linux Libertine G"/>
        <family val="2"/>
        <charset val="1"/>
      </rPr>
      <t xml:space="preserve">50%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1,500K → </t>
    </r>
    <r>
      <rPr>
        <sz val="11"/>
        <rFont val="Linux Libertine G"/>
        <family val="2"/>
      </rPr>
      <t xml:space="preserve">最多 </t>
    </r>
    <r>
      <rPr>
        <sz val="11"/>
        <rFont val="Linux Libertine G"/>
        <family val="2"/>
        <charset val="1"/>
      </rPr>
      <t xml:space="preserve">+750K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</si>
  <si>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上市前的产能要分两年加；大扩产提前一年规划</t>
    </r>
  </si>
  <si>
    <t xml:space="preserve">经销商变动上限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</si>
  <si>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一次 </t>
    </r>
    <r>
      <rPr>
        <sz val="11"/>
        <rFont val="Linux Libertine G"/>
        <family val="2"/>
        <charset val="1"/>
      </rPr>
      <t xml:space="preserve">+48</t>
    </r>
  </si>
  <si>
    <r>
      <rPr>
        <sz val="11"/>
        <rFont val="Linux Libertine G"/>
        <family val="2"/>
      </rPr>
      <t xml:space="preserve">上限是“已开业经销商”的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480 → ±48</t>
    </r>
    <r>
      <rPr>
        <sz val="11"/>
        <rFont val="Linux Libertine G"/>
        <family val="2"/>
      </rPr>
      <t xml:space="preserve">），去年排的 </t>
    </r>
    <r>
      <rPr>
        <sz val="11"/>
        <rFont val="Linux Libertine G"/>
        <family val="2"/>
        <charset val="1"/>
      </rPr>
      <t xml:space="preserve">+48 </t>
    </r>
    <r>
      <rPr>
        <sz val="11"/>
        <rFont val="Linux Libertine G"/>
        <family val="2"/>
      </rPr>
      <t xml:space="preserve">还没开业，不算进基数</t>
    </r>
  </si>
  <si>
    <r>
      <rPr>
        <sz val="11"/>
        <rFont val="Linux Libertine G"/>
        <family val="2"/>
      </rPr>
      <t xml:space="preserve">每年最多 </t>
    </r>
    <r>
      <rPr>
        <sz val="11"/>
        <rFont val="Linux Libertine G"/>
        <family val="2"/>
        <charset val="1"/>
      </rPr>
      <t xml:space="preserve">+48 </t>
    </r>
    <r>
      <rPr>
        <sz val="11"/>
        <rFont val="Linux Libertine G"/>
        <family val="2"/>
      </rPr>
      <t xml:space="preserve">左右，提前规划区域</t>
    </r>
  </si>
  <si>
    <t xml:space="preserve">利率</t>
  </si>
  <si>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：短贷 </t>
    </r>
    <r>
      <rPr>
        <sz val="11"/>
        <rFont val="Linux Libertine G"/>
        <family val="2"/>
        <charset val="1"/>
      </rPr>
      <t xml:space="preserve">7.5%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5.5%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CD 3.0%</t>
    </r>
  </si>
  <si>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prime </t>
    </r>
    <r>
      <rPr>
        <sz val="11"/>
        <rFont val="Linux Libertine G"/>
        <family val="2"/>
      </rPr>
      <t xml:space="preserve">降到 </t>
    </r>
    <r>
      <rPr>
        <sz val="11"/>
        <rFont val="Linux Libertine G"/>
        <family val="2"/>
        <charset val="1"/>
      </rPr>
      <t xml:space="preserve">4%</t>
    </r>
    <r>
      <rPr>
        <sz val="11"/>
        <rFont val="Linux Libertine G"/>
        <family val="2"/>
      </rPr>
      <t xml:space="preserve">）：短贷 </t>
    </r>
    <r>
      <rPr>
        <sz val="11"/>
        <rFont val="Linux Libertine G"/>
        <family val="2"/>
        <charset val="1"/>
      </rPr>
      <t xml:space="preserve">6.5%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4.5%</t>
    </r>
    <r>
      <rPr>
        <sz val="11"/>
        <rFont val="Linux Libertine G"/>
        <family val="2"/>
      </rPr>
      <t xml:space="preserve">（评级 </t>
    </r>
    <r>
      <rPr>
        <sz val="11"/>
        <rFont val="Linux Libertine G"/>
        <family val="2"/>
        <charset val="1"/>
      </rPr>
      <t xml:space="preserve">AA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CD 2.0%</t>
    </r>
  </si>
  <si>
    <r>
      <rPr>
        <sz val="11"/>
        <rFont val="Linux Libertine G"/>
        <family val="2"/>
      </rPr>
      <t xml:space="preserve">被系统强制借贷的成本降低了；</t>
    </r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收益也低了</t>
    </r>
  </si>
  <si>
    <r>
      <rPr>
        <sz val="11"/>
        <rFont val="Linux Libertine G"/>
        <family val="2"/>
        <charset val="1"/>
      </rPr>
      <t xml:space="preserve">Retooling </t>
    </r>
    <r>
      <rPr>
        <sz val="11"/>
        <rFont val="Linux Libertine G"/>
        <family val="2"/>
      </rPr>
      <t xml:space="preserve">费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</si>
  <si>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产量 </t>
    </r>
    <r>
      <rPr>
        <sz val="11"/>
        <rFont val="Linux Libertine G"/>
        <family val="2"/>
        <charset val="1"/>
      </rPr>
      <t xml:space="preserve">479K → 680K </t>
    </r>
    <r>
      <rPr>
        <sz val="11"/>
        <rFont val="Linux Libertine G"/>
        <family val="2"/>
      </rPr>
      <t xml:space="preserve">付了 </t>
    </r>
    <r>
      <rPr>
        <sz val="11"/>
        <rFont val="Linux Libertine G"/>
        <family val="2"/>
        <charset val="1"/>
      </rPr>
      <t xml:space="preserve">$603M</t>
    </r>
  </si>
  <si>
    <r>
      <rPr>
        <sz val="11"/>
        <rFont val="Linux Libertine G"/>
        <family val="2"/>
      </rPr>
      <t xml:space="preserve">升级的车和增产的车都要付：这次共 </t>
    </r>
    <r>
      <rPr>
        <sz val="11"/>
        <rFont val="Linux Libertine G"/>
        <family val="2"/>
        <charset val="1"/>
      </rPr>
      <t xml:space="preserve">$1,064M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Cafav $609M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$319M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$136M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</si>
  <si>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是设备投资（按 </t>
    </r>
    <r>
      <rPr>
        <sz val="11"/>
        <rFont val="Linux Libertine G"/>
        <family val="2"/>
        <charset val="1"/>
      </rPr>
      <t xml:space="preserve">10 </t>
    </r>
    <r>
      <rPr>
        <sz val="11"/>
        <rFont val="Linux Libertine G"/>
        <family val="2"/>
      </rPr>
      <t xml:space="preserve">年折旧），不是当年费用，但要先付现金</t>
    </r>
  </si>
  <si>
    <t xml:space="preserve">10/17</t>
  </si>
  <si>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结果</t>
    </r>
  </si>
  <si>
    <t xml:space="preserve">升级当年的需求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</si>
  <si>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：升级当年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低估需求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</si>
  <si>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新版实际 </t>
    </r>
    <r>
      <rPr>
        <sz val="11"/>
        <rFont val="Linux Libertine G"/>
        <family val="2"/>
        <charset val="1"/>
      </rPr>
      <t xml:space="preserve">8.3%</t>
    </r>
    <r>
      <rPr>
        <sz val="11"/>
        <rFont val="Linux Libertine G"/>
        <family val="2"/>
      </rPr>
      <t xml:space="preserve">，比旧版的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高 </t>
    </r>
    <r>
      <rPr>
        <sz val="11"/>
        <rFont val="Linux Libertine G"/>
        <family val="2"/>
        <charset val="1"/>
      </rPr>
      <t xml:space="preserve">2.7 </t>
    </r>
    <r>
      <rPr>
        <sz val="11"/>
        <rFont val="Linux Libertine G"/>
        <family val="2"/>
      </rPr>
      <t xml:space="preserve">点，还缺货 </t>
    </r>
    <r>
      <rPr>
        <sz val="11"/>
        <rFont val="Linux Libertine G"/>
        <family val="2"/>
        <charset val="1"/>
      </rPr>
      <t xml:space="preserve">&gt;30%</t>
    </r>
  </si>
  <si>
    <r>
      <rPr>
        <sz val="11"/>
        <rFont val="Linux Libertine G"/>
        <family val="2"/>
      </rPr>
      <t xml:space="preserve">升级当年按 </t>
    </r>
    <r>
      <rPr>
        <sz val="11"/>
        <rFont val="Linux Libertine G"/>
        <family val="2"/>
        <charset val="1"/>
      </rPr>
      <t xml:space="preserve">+2.5 </t>
    </r>
    <r>
      <rPr>
        <sz val="11"/>
        <rFont val="Linux Libertine G"/>
        <family val="2"/>
      </rPr>
      <t xml:space="preserve">点左右估，多留产能、提高价格</t>
    </r>
  </si>
  <si>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的价格断崖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</si>
  <si>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Y5</t>
    </r>
    <r>
      <rPr>
        <sz val="11"/>
        <rFont val="Linux Libertine G"/>
        <family val="2"/>
      </rPr>
      <t xml:space="preserve">：提价 </t>
    </r>
    <r>
      <rPr>
        <sz val="11"/>
        <rFont val="Linux Libertine G"/>
        <family val="2"/>
        <charset val="1"/>
      </rPr>
      <t xml:space="preserve">10% </t>
    </r>
    <r>
      <rPr>
        <sz val="11"/>
        <rFont val="Linux Libertine G"/>
        <family val="2"/>
      </rPr>
      <t xml:space="preserve">份额不变</t>
    </r>
  </si>
  <si>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说 </t>
    </r>
    <r>
      <rPr>
        <sz val="11"/>
        <rFont val="Linux Libertine G"/>
        <family val="2"/>
        <charset val="1"/>
      </rPr>
      <t xml:space="preserve">$24,500 </t>
    </r>
    <r>
      <rPr>
        <sz val="11"/>
        <rFont val="Linux Libertine G"/>
        <family val="2"/>
      </rPr>
      <t xml:space="preserve">只有 </t>
    </r>
    <r>
      <rPr>
        <sz val="11"/>
        <rFont val="Linux Libertine G"/>
        <family val="2"/>
        <charset val="1"/>
      </rPr>
      <t xml:space="preserve">12%</t>
    </r>
    <r>
      <rPr>
        <sz val="11"/>
        <rFont val="Linux Libertine G"/>
        <family val="2"/>
      </rPr>
      <t xml:space="preserve">，可 </t>
    </r>
    <r>
      <rPr>
        <sz val="11"/>
        <rFont val="Linux Libertine G"/>
        <family val="2"/>
        <charset val="1"/>
      </rPr>
      <t xml:space="preserve">$24,000 </t>
    </r>
    <r>
      <rPr>
        <sz val="11"/>
        <rFont val="Linux Libertine G"/>
        <family val="2"/>
      </rPr>
      <t xml:space="preserve">照样缺货 </t>
    </r>
    <r>
      <rPr>
        <sz val="11"/>
        <rFont val="Linux Libertine G"/>
        <family val="2"/>
        <charset val="1"/>
      </rPr>
      <t xml:space="preserve">&gt;30%</t>
    </r>
  </si>
  <si>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夸大价格敏感度，定价以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为准</t>
    </r>
  </si>
  <si>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推断：主要看有没有升级车型上市</t>
    </r>
  </si>
  <si>
    <r>
      <rPr>
        <sz val="11"/>
        <rFont val="Linux Libertine G"/>
        <family val="2"/>
      </rPr>
      <t xml:space="preserve">我们两款升级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 </t>
    </r>
    <r>
      <rPr>
        <sz val="11"/>
        <rFont val="Linux Libertine G"/>
        <family val="2"/>
        <charset val="1"/>
      </rPr>
      <t xml:space="preserve">$675M → 19.4%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B </t>
    </r>
    <r>
      <rPr>
        <sz val="11"/>
        <rFont val="Linux Libertine G"/>
        <family val="2"/>
      </rPr>
      <t xml:space="preserve">三款 </t>
    </r>
    <r>
      <rPr>
        <sz val="11"/>
        <rFont val="Linux Libertine G"/>
        <family val="2"/>
        <charset val="1"/>
      </rPr>
      <t xml:space="preserve">+ $485M → 20.2%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各两款但营销 </t>
    </r>
    <r>
      <rPr>
        <sz val="11"/>
        <rFont val="Linux Libertine G"/>
        <family val="2"/>
        <charset val="1"/>
      </rPr>
      <t xml:space="preserve">$215M → </t>
    </r>
    <r>
      <rPr>
        <sz val="11"/>
        <rFont val="Linux Libertine G"/>
        <family val="2"/>
      </rPr>
      <t xml:space="preserve">约 </t>
    </r>
    <r>
      <rPr>
        <sz val="11"/>
        <rFont val="Linux Libertine G"/>
        <family val="2"/>
        <charset val="1"/>
      </rPr>
      <t xml:space="preserve">12%</t>
    </r>
  </si>
  <si>
    <r>
      <rPr>
        <sz val="11"/>
        <rFont val="Linux Libertine G"/>
        <family val="2"/>
      </rPr>
      <t xml:space="preserve">修正：升级车型 </t>
    </r>
    <r>
      <rPr>
        <sz val="11"/>
        <rFont val="Linux Libertine G"/>
        <family val="2"/>
        <charset val="1"/>
      </rPr>
      <t xml:space="preserve">+ </t>
    </r>
    <r>
      <rPr>
        <sz val="11"/>
        <rFont val="Linux Libertine G"/>
        <family val="2"/>
      </rPr>
      <t xml:space="preserve">营销投入一起决定偏好度 </t>
    </r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</t>
    </r>
  </si>
  <si>
    <t xml:space="preserve">对手压库存</t>
  </si>
  <si>
    <r>
      <rPr>
        <sz val="11"/>
        <rFont val="Linux Libertine G"/>
        <family val="2"/>
      </rPr>
      <t xml:space="preserve">练习轮 </t>
    </r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压库存</t>
    </r>
  </si>
  <si>
    <r>
      <rPr>
        <sz val="11"/>
        <rFont val="Linux Libertine G"/>
        <family val="2"/>
        <charset val="1"/>
      </rPr>
      <t xml:space="preserve">A 280K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D 343K</t>
    </r>
    <r>
      <rPr>
        <sz val="11"/>
        <rFont val="Linux Libertine G"/>
        <family val="2"/>
      </rPr>
      <t xml:space="preserve">（都是 </t>
    </r>
    <r>
      <rPr>
        <sz val="11"/>
        <rFont val="Linux Libertine G"/>
        <family val="2"/>
        <charset val="1"/>
      </rPr>
      <t xml:space="preserve">99 </t>
    </r>
    <r>
      <rPr>
        <sz val="11"/>
        <rFont val="Linux Libertine G"/>
        <family val="2"/>
      </rPr>
      <t xml:space="preserve">天），</t>
    </r>
    <r>
      <rPr>
        <sz val="11"/>
        <rFont val="Linux Libertine G"/>
        <family val="2"/>
        <charset val="1"/>
      </rPr>
      <t xml:space="preserve">G 191K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53 </t>
    </r>
    <r>
      <rPr>
        <sz val="11"/>
        <rFont val="Linux Libertine G"/>
        <family val="2"/>
      </rPr>
      <t xml:space="preserve">天）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</si>
  <si>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Y3 </t>
    </r>
    <r>
      <rPr>
        <sz val="11"/>
        <rFont val="Linux Libertine G"/>
        <family val="2"/>
      </rPr>
      <t xml:space="preserve">他们可能降价清库存</t>
    </r>
  </si>
  <si>
    <r>
      <rPr>
        <sz val="11"/>
        <rFont val="Linux Libertine G"/>
        <family val="2"/>
      </rPr>
      <t xml:space="preserve">对手做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</si>
  <si>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</rPr>
      <t xml:space="preserve">练习轮只有 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做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</si>
  <si>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都宣布在做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</si>
  <si>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最早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上市；</t>
    </r>
    <r>
      <rPr>
        <sz val="11"/>
        <rFont val="Linux Libertine G"/>
        <family val="2"/>
        <charset val="1"/>
      </rPr>
      <t xml:space="preserve">Canyon Y3 </t>
    </r>
    <r>
      <rPr>
        <sz val="11"/>
        <rFont val="Linux Libertine G"/>
        <family val="2"/>
      </rPr>
      <t xml:space="preserve">先独占 </t>
    </r>
    <r>
      <rPr>
        <sz val="11"/>
        <rFont val="Linux Libertine G"/>
        <family val="2"/>
        <charset val="1"/>
      </rPr>
      <t xml:space="preserve">5U</t>
    </r>
  </si>
  <si>
    <t xml:space="preserve">全行业销量</t>
  </si>
  <si>
    <r>
      <rPr>
        <sz val="11"/>
        <rFont val="Linux Libertine G"/>
        <family val="2"/>
      </rPr>
      <t xml:space="preserve">练习轮只有预测的 </t>
    </r>
    <r>
      <rPr>
        <sz val="11"/>
        <rFont val="Linux Libertine G"/>
        <family val="2"/>
        <charset val="1"/>
      </rPr>
      <t xml:space="preserve">76–85%</t>
    </r>
  </si>
  <si>
    <r>
      <rPr>
        <sz val="11"/>
        <rFont val="Linux Libertine G"/>
        <family val="2"/>
        <charset val="1"/>
      </rPr>
      <t xml:space="preserve">Y2 9,519K</t>
    </r>
    <r>
      <rPr>
        <sz val="11"/>
        <rFont val="Linux Libertine G"/>
        <family val="2"/>
      </rPr>
      <t xml:space="preserve">，是预测 </t>
    </r>
    <r>
      <rPr>
        <sz val="11"/>
        <rFont val="Linux Libertine G"/>
        <family val="2"/>
        <charset val="1"/>
      </rPr>
      <t xml:space="preserve">12,388K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77%</t>
    </r>
  </si>
  <si>
    <r>
      <rPr>
        <sz val="11"/>
        <rFont val="Linux Libertine G"/>
        <family val="2"/>
      </rPr>
      <t xml:space="preserve">按预测的约 </t>
    </r>
    <r>
      <rPr>
        <sz val="11"/>
        <rFont val="Linux Libertine G"/>
        <family val="2"/>
        <charset val="1"/>
      </rPr>
      <t xml:space="preserve">77% </t>
    </r>
    <r>
      <rPr>
        <sz val="11"/>
        <rFont val="Linux Libertine G"/>
        <family val="2"/>
      </rPr>
      <t xml:space="preserve">估行业规模</t>
    </r>
  </si>
  <si>
    <t xml:space="preserve">D3</t>
  </si>
  <si>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：短贷 </t>
    </r>
    <r>
      <rPr>
        <sz val="11"/>
        <rFont val="Linux Libertine G"/>
        <family val="2"/>
        <charset val="1"/>
      </rPr>
      <t xml:space="preserve">6.5%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4.5%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AA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CD 2.0%</t>
    </r>
  </si>
  <si>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：短贷 </t>
    </r>
    <r>
      <rPr>
        <sz val="11"/>
        <rFont val="Linux Libertine G"/>
        <family val="2"/>
        <charset val="1"/>
      </rPr>
      <t xml:space="preserve">5.0%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3.0%</t>
    </r>
    <r>
      <rPr>
        <sz val="11"/>
        <rFont val="Linux Libertine G"/>
        <family val="2"/>
      </rPr>
      <t xml:space="preserve">（评级 </t>
    </r>
    <r>
      <rPr>
        <sz val="11"/>
        <rFont val="Linux Libertine G"/>
        <family val="2"/>
        <charset val="1"/>
      </rPr>
      <t xml:space="preserve">AAA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CD 3.0%</t>
    </r>
  </si>
  <si>
    <r>
      <rPr>
        <sz val="11"/>
        <rFont val="Linux Libertine G"/>
        <family val="2"/>
      </rPr>
      <t xml:space="preserve">负债为 </t>
    </r>
    <r>
      <rPr>
        <sz val="11"/>
        <rFont val="Linux Libertine G"/>
        <family val="2"/>
        <charset val="1"/>
      </rPr>
      <t xml:space="preserve">0 </t>
    </r>
    <r>
      <rPr>
        <sz val="11"/>
        <rFont val="Linux Libertine G"/>
        <family val="2"/>
      </rPr>
      <t xml:space="preserve">后评级升到 </t>
    </r>
    <r>
      <rPr>
        <sz val="11"/>
        <rFont val="Linux Libertine G"/>
        <family val="2"/>
        <charset val="1"/>
      </rPr>
      <t xml:space="preserve">AAA</t>
    </r>
    <r>
      <rPr>
        <sz val="11"/>
        <rFont val="Linux Libertine G"/>
        <family val="2"/>
      </rPr>
      <t xml:space="preserve">；现金多时买 </t>
    </r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有 </t>
    </r>
    <r>
      <rPr>
        <sz val="11"/>
        <rFont val="Linux Libertine G"/>
        <family val="2"/>
        <charset val="1"/>
      </rPr>
      <t xml:space="preserve">3%</t>
    </r>
  </si>
  <si>
    <t xml:space="preserve">新车开发时间</t>
  </si>
  <si>
    <r>
      <rPr>
        <sz val="11"/>
        <rFont val="Linux Libertine G"/>
        <family val="2"/>
      </rPr>
      <t xml:space="preserve">练习轮：已有车型类别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年，新类别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</t>
    </r>
  </si>
  <si>
    <r>
      <rPr>
        <sz val="11"/>
        <rFont val="Linux Libertine G"/>
        <family val="2"/>
      </rPr>
      <t xml:space="preserve">新的 </t>
    </r>
    <r>
      <rPr>
        <sz val="11"/>
        <rFont val="Linux Libertine G"/>
        <family val="2"/>
        <charset val="1"/>
      </rPr>
      <t xml:space="preserve">Family </t>
    </r>
    <r>
      <rPr>
        <sz val="11"/>
        <rFont val="Linux Libertine G"/>
        <family val="2"/>
      </rPr>
      <t xml:space="preserve">车 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显示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年，开发费 </t>
    </r>
    <r>
      <rPr>
        <sz val="11"/>
        <rFont val="Linux Libertine G"/>
        <family val="2"/>
        <charset val="1"/>
      </rPr>
      <t xml:space="preserve">$975M</t>
    </r>
  </si>
  <si>
    <r>
      <rPr>
        <sz val="11"/>
        <rFont val="Linux Libertine G"/>
        <family val="2"/>
      </rPr>
      <t xml:space="preserve">第 </t>
    </r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款车选已有类别：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开始、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上市，能卖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</t>
    </r>
  </si>
  <si>
    <r>
      <rPr>
        <sz val="11"/>
        <rFont val="Linux Libertine G"/>
        <family val="2"/>
      </rPr>
      <t xml:space="preserve">新车 </t>
    </r>
    <r>
      <rPr>
        <sz val="11"/>
        <rFont val="Linux Libertine G"/>
        <family val="2"/>
        <charset val="1"/>
      </rPr>
      <t xml:space="preserve">retooling</t>
    </r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</si>
  <si>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：增产约 </t>
    </r>
    <r>
      <rPr>
        <sz val="11"/>
        <rFont val="Linux Libertine G"/>
        <family val="2"/>
        <charset val="1"/>
      </rPr>
      <t xml:space="preserve">$3,000 / </t>
    </r>
    <r>
      <rPr>
        <sz val="11"/>
        <rFont val="Linux Libertine G"/>
        <family val="2"/>
      </rPr>
      <t xml:space="preserve">辆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</si>
  <si>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从 </t>
    </r>
    <r>
      <rPr>
        <sz val="11"/>
        <rFont val="Linux Libertine G"/>
        <family val="2"/>
        <charset val="1"/>
      </rPr>
      <t xml:space="preserve">0 </t>
    </r>
    <r>
      <rPr>
        <sz val="11"/>
        <rFont val="Linux Libertine G"/>
        <family val="2"/>
      </rPr>
      <t xml:space="preserve">到 </t>
    </r>
    <r>
      <rPr>
        <sz val="11"/>
        <rFont val="Linux Libertine G"/>
        <family val="2"/>
        <charset val="1"/>
      </rPr>
      <t xml:space="preserve">650K </t>
    </r>
    <r>
      <rPr>
        <sz val="11"/>
        <rFont val="Linux Libertine G"/>
        <family val="2"/>
      </rPr>
      <t xml:space="preserve">付 </t>
    </r>
    <r>
      <rPr>
        <sz val="11"/>
        <rFont val="Linux Libertine G"/>
        <family val="2"/>
        <charset val="1"/>
      </rPr>
      <t xml:space="preserve">$874M</t>
    </r>
    <r>
      <rPr>
        <sz val="11"/>
        <rFont val="Linux Libertine G"/>
        <family val="2"/>
      </rPr>
      <t xml:space="preserve">（约 </t>
    </r>
    <r>
      <rPr>
        <sz val="11"/>
        <rFont val="Linux Libertine G"/>
        <family val="2"/>
        <charset val="1"/>
      </rPr>
      <t xml:space="preserve">$1,345 / </t>
    </r>
    <r>
      <rPr>
        <sz val="11"/>
        <rFont val="Linux Libertine G"/>
        <family val="2"/>
      </rPr>
      <t xml:space="preserve">辆）</t>
    </r>
  </si>
  <si>
    <t xml:space="preserve">比预想便宜；现金压力主要在扩产</t>
  </si>
  <si>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没人做</t>
    </r>
  </si>
  <si>
    <r>
      <rPr>
        <sz val="11"/>
        <rFont val="Linux Libertine G"/>
        <family val="2"/>
      </rPr>
      <t xml:space="preserve">练习轮没注意 </t>
    </r>
    <r>
      <rPr>
        <sz val="11"/>
        <rFont val="Linux Libertine G"/>
        <family val="2"/>
        <charset val="1"/>
      </rPr>
      <t xml:space="preserve">4F</t>
    </r>
  </si>
  <si>
    <r>
      <rPr>
        <sz val="11"/>
        <rFont val="Linux Libertine G"/>
        <family val="2"/>
        <charset val="1"/>
      </rPr>
      <t xml:space="preserve">4F </t>
    </r>
    <r>
      <rPr>
        <sz val="11"/>
        <rFont val="Linux Libertine G"/>
        <family val="2"/>
      </rPr>
      <t xml:space="preserve">想要尺寸 </t>
    </r>
    <r>
      <rPr>
        <sz val="11"/>
        <rFont val="Linux Libertine G"/>
        <family val="2"/>
        <charset val="1"/>
      </rPr>
      <t xml:space="preserve">47–65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$27–41K</t>
    </r>
    <r>
      <rPr>
        <sz val="11"/>
        <rFont val="Linux Libertine G"/>
        <family val="2"/>
      </rPr>
      <t xml:space="preserve">、对价格不敏感；所有家用车只有 </t>
    </r>
    <r>
      <rPr>
        <sz val="11"/>
        <rFont val="Linux Libertine G"/>
        <family val="2"/>
        <charset val="1"/>
      </rPr>
      <t xml:space="preserve">28–40</t>
    </r>
  </si>
  <si>
    <r>
      <rPr>
        <sz val="11"/>
        <rFont val="Linux Libertine G"/>
        <family val="2"/>
      </rPr>
      <t xml:space="preserve">做 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抢先进入（同 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的思路）</t>
    </r>
  </si>
  <si>
    <t xml:space="preserve">10/24</t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</si>
  <si>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结果</t>
    </r>
  </si>
  <si>
    <r>
      <rPr>
        <sz val="11"/>
        <rFont val="Linux Libertine G"/>
        <family val="2"/>
      </rPr>
      <t xml:space="preserve">对手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上市时间</t>
    </r>
  </si>
  <si>
    <r>
      <rPr>
        <sz val="11"/>
        <rFont val="Linux Libertine G"/>
        <family val="2"/>
      </rPr>
      <t xml:space="preserve">练习轮 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才做完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</si>
  <si>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就有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款上市：</t>
    </r>
    <r>
      <rPr>
        <sz val="11"/>
        <rFont val="Linux Libertine G"/>
        <family val="2"/>
        <charset val="1"/>
      </rPr>
      <t xml:space="preserve">Axiom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A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$25,999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65 / 250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Elan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E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$28,000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Futura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F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$35,000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也宣布要做</t>
    </r>
  </si>
  <si>
    <r>
      <rPr>
        <sz val="11"/>
        <rFont val="Linux Libertine G"/>
        <family val="2"/>
      </rPr>
      <t xml:space="preserve">已宣布的对手车按“当年就会上市”来算；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不再独占 </t>
    </r>
    <r>
      <rPr>
        <sz val="11"/>
        <rFont val="Linux Libertine G"/>
        <family val="2"/>
        <charset val="1"/>
      </rPr>
      <t xml:space="preserve">5U</t>
    </r>
  </si>
  <si>
    <t xml:space="preserve">新车首年需求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</si>
  <si>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Focus Group </t>
    </r>
    <r>
      <rPr>
        <sz val="11"/>
        <rFont val="Linux Libertine G"/>
        <family val="2"/>
      </rPr>
      <t xml:space="preserve">份额 </t>
    </r>
    <r>
      <rPr>
        <sz val="11"/>
        <rFont val="Linux Libertine G"/>
        <family val="2"/>
        <charset val="1"/>
      </rPr>
      <t xml:space="preserve">47.3%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</si>
  <si>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卖 </t>
    </r>
    <r>
      <rPr>
        <sz val="11"/>
        <rFont val="Linux Libertine G"/>
        <family val="2"/>
        <charset val="1"/>
      </rPr>
      <t xml:space="preserve">585K</t>
    </r>
    <r>
      <rPr>
        <sz val="11"/>
        <rFont val="Linux Libertine G"/>
        <family val="2"/>
      </rPr>
      <t xml:space="preserve">，比推断的 </t>
    </r>
    <r>
      <rPr>
        <sz val="11"/>
        <rFont val="Linux Libertine G"/>
        <family val="2"/>
        <charset val="1"/>
      </rPr>
      <t xml:space="preserve">680K </t>
    </r>
    <r>
      <rPr>
        <sz val="11"/>
        <rFont val="Linux Libertine G"/>
        <family val="2"/>
      </rPr>
      <t xml:space="preserve">少 </t>
    </r>
    <r>
      <rPr>
        <sz val="11"/>
        <rFont val="Linux Libertine G"/>
        <family val="2"/>
        <charset val="1"/>
      </rPr>
      <t xml:space="preserve">95K</t>
    </r>
    <r>
      <rPr>
        <sz val="11"/>
        <rFont val="Linux Libertine G"/>
        <family val="2"/>
      </rPr>
      <t xml:space="preserve">，压 </t>
    </r>
    <r>
      <rPr>
        <sz val="11"/>
        <rFont val="Linux Libertine G"/>
        <family val="2"/>
        <charset val="1"/>
      </rPr>
      <t xml:space="preserve">65K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41 </t>
    </r>
    <r>
      <rPr>
        <sz val="11"/>
        <rFont val="Linux Libertine G"/>
        <family val="2"/>
      </rPr>
      <t xml:space="preserve">天）；</t>
    </r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全年 −</t>
    </r>
    <r>
      <rPr>
        <sz val="11"/>
        <rFont val="Linux Libertine G"/>
        <family val="2"/>
        <charset val="1"/>
      </rPr>
      <t xml:space="preserve">18%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3U +18.6%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Axiom </t>
    </r>
    <r>
      <rPr>
        <sz val="11"/>
        <rFont val="Linux Libertine G"/>
        <family val="2"/>
      </rPr>
      <t xml:space="preserve">第一）</t>
    </r>
  </si>
  <si>
    <r>
      <rPr>
        <sz val="11"/>
        <rFont val="Linux Libertine G"/>
        <family val="2"/>
      </rPr>
      <t xml:space="preserve">新车首年按推断量的 </t>
    </r>
    <r>
      <rPr>
        <sz val="11"/>
        <rFont val="Linux Libertine G"/>
        <family val="2"/>
        <charset val="1"/>
      </rPr>
      <t xml:space="preserve">85–90% </t>
    </r>
    <r>
      <rPr>
        <sz val="11"/>
        <rFont val="Linux Libertine G"/>
        <family val="2"/>
      </rPr>
      <t xml:space="preserve">排产</t>
    </r>
  </si>
  <si>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减产</t>
    </r>
  </si>
  <si>
    <r>
      <rPr>
        <sz val="11"/>
        <rFont val="Linux Libertine G"/>
        <family val="2"/>
        <charset val="1"/>
      </rPr>
      <t xml:space="preserve">D2 </t>
    </r>
    <r>
      <rPr>
        <sz val="11"/>
        <rFont val="Linux Libertine G"/>
        <family val="2"/>
      </rPr>
      <t xml:space="preserve">时假设需求不够时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会自动减产 </t>
    </r>
    <r>
      <rPr>
        <sz val="11"/>
        <rFont val="Linux Libertine G"/>
        <family val="2"/>
        <charset val="1"/>
      </rPr>
      <t xml:space="preserve">10%</t>
    </r>
    <r>
      <rPr>
        <sz val="11"/>
        <rFont val="Linux Libertine G"/>
        <family val="2"/>
      </rPr>
      <t xml:space="preserve">（没验证过）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</si>
  <si>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产 </t>
    </r>
    <r>
      <rPr>
        <sz val="11"/>
        <rFont val="Linux Libertine G"/>
        <family val="2"/>
        <charset val="1"/>
      </rPr>
      <t xml:space="preserve">650K = </t>
    </r>
    <r>
      <rPr>
        <sz val="11"/>
        <rFont val="Linux Libertine G"/>
        <family val="2"/>
      </rPr>
      <t xml:space="preserve">排产，没有减</t>
    </r>
  </si>
  <si>
    <r>
      <rPr>
        <sz val="11"/>
        <rFont val="Linux Libertine G"/>
        <family val="2"/>
      </rPr>
      <t xml:space="preserve">不靠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防库存；排产先扣库存</t>
    </r>
  </si>
  <si>
    <t xml:space="preserve">提价空间</t>
  </si>
  <si>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提价 </t>
    </r>
    <r>
      <rPr>
        <sz val="11"/>
        <rFont val="Linux Libertine G"/>
        <family val="2"/>
        <charset val="1"/>
      </rPr>
      <t xml:space="preserve">6–10% </t>
    </r>
    <r>
      <rPr>
        <sz val="11"/>
        <rFont val="Linux Libertine G"/>
        <family val="2"/>
      </rPr>
      <t xml:space="preserve">后仍缺货 </t>
    </r>
    <r>
      <rPr>
        <sz val="11"/>
        <rFont val="Linux Libertine G"/>
        <family val="2"/>
        <charset val="1"/>
      </rPr>
      <t xml:space="preserve">10–30%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</si>
  <si>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继续用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往上测</t>
    </r>
  </si>
  <si>
    <r>
      <rPr>
        <sz val="11"/>
        <rFont val="Linux Libertine G"/>
        <family val="2"/>
        <charset val="1"/>
      </rPr>
      <t xml:space="preserve">Y3 10,670K</t>
    </r>
    <r>
      <rPr>
        <sz val="11"/>
        <rFont val="Linux Libertine G"/>
        <family val="2"/>
      </rPr>
      <t xml:space="preserve">，是预测 </t>
    </r>
    <r>
      <rPr>
        <sz val="11"/>
        <rFont val="Linux Libertine G"/>
        <family val="2"/>
        <charset val="1"/>
      </rPr>
      <t xml:space="preserve">14,314K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75%</t>
    </r>
  </si>
  <si>
    <t xml:space="preserve">规律成立</t>
  </si>
  <si>
    <r>
      <rPr>
        <sz val="11"/>
        <rFont val="Linux Libertine G"/>
        <family val="2"/>
      </rPr>
      <t xml:space="preserve">练习轮每年高估约 </t>
    </r>
    <r>
      <rPr>
        <sz val="11"/>
        <rFont val="Linux Libertine G"/>
        <family val="2"/>
        <charset val="1"/>
      </rPr>
      <t xml:space="preserve">$700M</t>
    </r>
  </si>
  <si>
    <r>
      <rPr>
        <sz val="11"/>
        <rFont val="Linux Libertine G"/>
        <family val="2"/>
      </rPr>
      <t xml:space="preserve">高估 </t>
    </r>
    <r>
      <rPr>
        <sz val="11"/>
        <rFont val="Linux Libertine G"/>
        <family val="2"/>
        <charset val="1"/>
      </rPr>
      <t xml:space="preserve">$438M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卖少了）</t>
    </r>
  </si>
  <si>
    <r>
      <rPr>
        <sz val="11"/>
        <rFont val="Linux Libertine G"/>
        <family val="2"/>
      </rPr>
      <t xml:space="preserve">新车的销量预测要保守，</t>
    </r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才准</t>
    </r>
  </si>
  <si>
    <t xml:space="preserve">10/25</t>
  </si>
  <si>
    <t xml:space="preserve">D4</t>
  </si>
  <si>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：短贷 </t>
    </r>
    <r>
      <rPr>
        <sz val="11"/>
        <rFont val="Linux Libertine G"/>
        <family val="2"/>
        <charset val="1"/>
      </rPr>
      <t xml:space="preserve">5.0%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3.0%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CD 3.0%</t>
    </r>
  </si>
  <si>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：短贷 </t>
    </r>
    <r>
      <rPr>
        <sz val="11"/>
        <rFont val="Linux Libertine G"/>
        <family val="2"/>
        <charset val="1"/>
      </rPr>
      <t xml:space="preserve">6.0%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4.0%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AAA</t>
    </r>
    <r>
      <rPr>
        <sz val="11"/>
        <rFont val="Linux Libertine G"/>
        <family val="2"/>
      </rPr>
      <t xml:space="preserve">）、</t>
    </r>
    <r>
      <rPr>
        <sz val="11"/>
        <rFont val="Linux Libertine G"/>
        <family val="2"/>
        <charset val="1"/>
      </rPr>
      <t xml:space="preserve">CD 3.5%</t>
    </r>
  </si>
  <si>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收益更高，多余现金买 </t>
    </r>
    <r>
      <rPr>
        <sz val="11"/>
        <rFont val="Linux Libertine G"/>
        <family val="2"/>
        <charset val="1"/>
      </rPr>
      <t xml:space="preserve">CD</t>
    </r>
  </si>
  <si>
    <r>
      <rPr>
        <sz val="11"/>
        <rFont val="Linux Libertine G"/>
        <family val="2"/>
        <charset val="1"/>
      </rPr>
      <t xml:space="preserve">CD </t>
    </r>
    <r>
      <rPr>
        <sz val="11"/>
        <rFont val="Linux Libertine G"/>
        <family val="2"/>
      </rPr>
      <t xml:space="preserve">上限</t>
    </r>
  </si>
  <si>
    <t xml:space="preserve">练习轮没碰到过</t>
  </si>
  <si>
    <r>
      <rPr>
        <sz val="11"/>
        <rFont val="Linux Libertine G"/>
        <family val="2"/>
      </rPr>
      <t xml:space="preserve">一次最多买 </t>
    </r>
    <r>
      <rPr>
        <sz val="11"/>
        <rFont val="Linux Libertine G"/>
        <family val="2"/>
        <charset val="1"/>
      </rPr>
      <t xml:space="preserve">$10,000M</t>
    </r>
  </si>
  <si>
    <r>
      <rPr>
        <sz val="11"/>
        <rFont val="Linux Libertine G"/>
        <family val="2"/>
      </rPr>
      <t xml:space="preserve">现金再多也只能存 </t>
    </r>
    <r>
      <rPr>
        <sz val="11"/>
        <rFont val="Linux Libertine G"/>
        <family val="2"/>
        <charset val="1"/>
      </rPr>
      <t xml:space="preserve">$10B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</si>
  <si>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的范围</t>
    </r>
  </si>
  <si>
    <t xml:space="preserve">练习轮没注意</t>
  </si>
  <si>
    <r>
      <rPr>
        <sz val="11"/>
        <rFont val="Linux Libertine G"/>
        <family val="2"/>
      </rPr>
      <t xml:space="preserve">价格只能在 </t>
    </r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±10% </t>
    </r>
    <r>
      <rPr>
        <sz val="11"/>
        <rFont val="Linux Libertine G"/>
        <family val="2"/>
      </rPr>
      <t xml:space="preserve">内；促销最多到 </t>
    </r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倍</t>
    </r>
  </si>
  <si>
    <r>
      <rPr>
        <sz val="11"/>
        <rFont val="Linux Libertine G"/>
        <family val="2"/>
        <charset val="1"/>
      </rPr>
      <t xml:space="preserve">+10% </t>
    </r>
    <r>
      <rPr>
        <sz val="11"/>
        <rFont val="Linux Libertine G"/>
        <family val="2"/>
      </rPr>
      <t xml:space="preserve">以上的价格上限测不到</t>
    </r>
  </si>
  <si>
    <r>
      <rPr>
        <sz val="11"/>
        <rFont val="Linux Libertine G"/>
        <family val="2"/>
        <charset val="1"/>
      </rPr>
      <t xml:space="preserve">Concept </t>
    </r>
    <r>
      <rPr>
        <sz val="11"/>
        <rFont val="Linux Libertine G"/>
        <family val="2"/>
      </rPr>
      <t xml:space="preserve">的规则</t>
    </r>
  </si>
  <si>
    <r>
      <rPr>
        <sz val="11"/>
        <rFont val="Linux Libertine G"/>
        <family val="2"/>
      </rPr>
      <t xml:space="preserve">同一类别的两个 </t>
    </r>
    <r>
      <rPr>
        <sz val="11"/>
        <rFont val="Linux Libertine G"/>
        <family val="2"/>
        <charset val="1"/>
      </rPr>
      <t xml:space="preserve">concept</t>
    </r>
    <r>
      <rPr>
        <sz val="11"/>
        <rFont val="Linux Libertine G"/>
        <family val="2"/>
      </rPr>
      <t xml:space="preserve">，尺寸和 </t>
    </r>
    <r>
      <rPr>
        <sz val="11"/>
        <rFont val="Linux Libertine G"/>
        <family val="2"/>
        <charset val="1"/>
      </rPr>
      <t xml:space="preserve">HP </t>
    </r>
    <r>
      <rPr>
        <sz val="11"/>
        <rFont val="Linux Libertine G"/>
        <family val="2"/>
      </rPr>
      <t xml:space="preserve">不能都一样</t>
    </r>
  </si>
  <si>
    <r>
      <rPr>
        <sz val="11"/>
        <rFont val="Linux Libertine G"/>
        <family val="2"/>
      </rPr>
      <t xml:space="preserve">比较配置时把尺寸改 </t>
    </r>
    <r>
      <rPr>
        <sz val="11"/>
        <rFont val="Linux Libertine G"/>
        <family val="2"/>
        <charset val="1"/>
      </rPr>
      <t xml:space="preserve">1</t>
    </r>
  </si>
  <si>
    <t xml:space="preserve">降成本项目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</si>
  <si>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Y1 Crash </t>
    </r>
    <r>
      <rPr>
        <sz val="11"/>
        <rFont val="Linux Libertine G"/>
        <family val="2"/>
      </rPr>
      <t xml:space="preserve">降成本（单车省 </t>
    </r>
    <r>
      <rPr>
        <sz val="11"/>
        <rFont val="Linux Libertine G"/>
        <family val="2"/>
        <charset val="1"/>
      </rPr>
      <t xml:space="preserve">$222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</si>
  <si>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降成本单车省 </t>
    </r>
    <r>
      <rPr>
        <sz val="11"/>
        <rFont val="Linux Libertine G"/>
        <family val="2"/>
        <charset val="1"/>
      </rPr>
      <t xml:space="preserve">$313</t>
    </r>
    <r>
      <rPr>
        <sz val="11"/>
        <rFont val="Linux Libertine G"/>
        <family val="2"/>
      </rPr>
      <t xml:space="preserve">，库存不报废（升级才会报废）</t>
    </r>
  </si>
  <si>
    <t xml:space="preserve">有库存的车做降成本，不做升级</t>
  </si>
  <si>
    <r>
      <rPr>
        <sz val="11"/>
        <rFont val="Linux Libertine G"/>
        <family val="2"/>
      </rPr>
      <t xml:space="preserve">已有类别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年</t>
    </r>
  </si>
  <si>
    <r>
      <rPr>
        <sz val="11"/>
        <rFont val="Linux Libertine G"/>
        <family val="2"/>
        <charset val="1"/>
      </rPr>
      <t xml:space="preserve">D4 </t>
    </r>
    <r>
      <rPr>
        <sz val="11"/>
        <rFont val="Linux Libertine G"/>
        <family val="2"/>
      </rPr>
      <t xml:space="preserve">开始的 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Cargo </t>
    </r>
    <r>
      <rPr>
        <sz val="11"/>
        <rFont val="Linux Libertine G"/>
        <family val="2"/>
      </rPr>
      <t xml:space="preserve">都是 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上市，能卖两年（</t>
    </r>
    <r>
      <rPr>
        <sz val="11"/>
        <rFont val="Linux Libertine G"/>
        <family val="2"/>
        <charset val="1"/>
      </rPr>
      <t xml:space="preserve">10/25 </t>
    </r>
    <r>
      <rPr>
        <sz val="11"/>
        <rFont val="Linux Libertine G"/>
        <family val="2"/>
      </rPr>
      <t xml:space="preserve">复查后两款都取消了）</t>
    </r>
  </si>
  <si>
    <r>
      <rPr>
        <sz val="11"/>
        <rFont val="Linux Libertine G"/>
        <family val="2"/>
        <charset val="1"/>
      </rPr>
      <t xml:space="preserve">D5 </t>
    </r>
    <r>
      <rPr>
        <sz val="11"/>
        <rFont val="Linux Libertine G"/>
        <family val="2"/>
      </rPr>
      <t xml:space="preserve">再开发新车只能卖 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一年</t>
    </r>
  </si>
  <si>
    <r>
      <rPr>
        <sz val="11"/>
        <rFont val="Linux Libertine G"/>
        <family val="2"/>
      </rPr>
      <t xml:space="preserve">对手 </t>
    </r>
    <r>
      <rPr>
        <sz val="11"/>
        <rFont val="Linux Libertine G"/>
        <family val="2"/>
        <charset val="1"/>
      </rPr>
      <t xml:space="preserve">Utility</t>
    </r>
  </si>
  <si>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已有 </t>
    </r>
    <r>
      <rPr>
        <sz val="11"/>
        <rFont val="Linux Libertine G"/>
        <family val="2"/>
        <charset val="1"/>
      </rPr>
      <t xml:space="preserve">Axiom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Elan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Futura</t>
    </r>
  </si>
  <si>
    <r>
      <rPr>
        <sz val="11"/>
        <rFont val="Linux Libertine G"/>
        <family val="2"/>
        <charset val="1"/>
      </rPr>
      <t xml:space="preserve">5U </t>
    </r>
    <r>
      <rPr>
        <sz val="11"/>
        <rFont val="Linux Libertine G"/>
        <family val="2"/>
      </rPr>
      <t xml:space="preserve">三款对手车 </t>
    </r>
    <r>
      <rPr>
        <sz val="11"/>
        <rFont val="Linux Libertine G"/>
        <family val="2"/>
        <charset val="1"/>
      </rPr>
      <t xml:space="preserve">$26–35K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也宣布要做</t>
    </r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</si>
  <si>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守 </t>
    </r>
    <r>
      <rPr>
        <sz val="11"/>
        <rFont val="Linux Libertine G"/>
        <family val="2"/>
        <charset val="1"/>
      </rPr>
      <t xml:space="preserve">$39K</t>
    </r>
    <r>
      <rPr>
        <sz val="11"/>
        <rFont val="Linux Libertine G"/>
        <family val="2"/>
      </rPr>
      <t xml:space="preserve">、广告加倍</t>
    </r>
  </si>
  <si>
    <r>
      <rPr>
        <sz val="11"/>
        <rFont val="Linux Libertine G"/>
        <family val="2"/>
        <charset val="1"/>
      </rPr>
      <t xml:space="preserve">D4 </t>
    </r>
    <r>
      <rPr>
        <sz val="11"/>
        <rFont val="Linux Libertine G"/>
        <family val="2"/>
      </rPr>
      <t xml:space="preserve">复查</t>
    </r>
  </si>
  <si>
    <t xml:space="preserve">新车选择</t>
  </si>
  <si>
    <r>
      <rPr>
        <sz val="11"/>
        <rFont val="Linux Libertine G"/>
        <family val="2"/>
      </rPr>
      <t xml:space="preserve">练习 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测试：</t>
    </r>
    <r>
      <rPr>
        <sz val="11"/>
        <rFont val="Linux Libertine G"/>
        <family val="2"/>
        <charset val="1"/>
      </rPr>
      <t xml:space="preserve">3U </t>
    </r>
    <r>
      <rPr>
        <sz val="11"/>
        <rFont val="Linux Libertine G"/>
        <family val="2"/>
      </rPr>
      <t xml:space="preserve">小 </t>
    </r>
    <r>
      <rPr>
        <sz val="11"/>
        <rFont val="Linux Libertine G"/>
        <family val="2"/>
        <charset val="1"/>
      </rPr>
      <t xml:space="preserve">Utility $25K </t>
    </r>
    <r>
      <rPr>
        <sz val="11"/>
        <rFont val="Linux Libertine G"/>
        <family val="2"/>
      </rPr>
      <t xml:space="preserve">只赚约 </t>
    </r>
    <r>
      <rPr>
        <sz val="11"/>
        <rFont val="Linux Libertine G"/>
        <family val="2"/>
        <charset val="1"/>
      </rPr>
      <t xml:space="preserve">$400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卡车尺寸 </t>
    </r>
    <r>
      <rPr>
        <sz val="11"/>
        <rFont val="Linux Libertine G"/>
        <family val="2"/>
        <charset val="1"/>
      </rPr>
      <t xml:space="preserve">90 </t>
    </r>
    <r>
      <rPr>
        <sz val="11"/>
        <rFont val="Linux Libertine G"/>
        <family val="2"/>
      </rPr>
      <t xml:space="preserve">被评 </t>
    </r>
    <r>
      <rPr>
        <sz val="11"/>
        <rFont val="Linux Libertine G"/>
        <family val="2"/>
        <charset val="1"/>
      </rPr>
      <t xml:space="preserve">small</t>
    </r>
    <r>
      <rPr>
        <sz val="11"/>
        <rFont val="Linux Libertine G"/>
        <family val="2"/>
      </rPr>
      <t xml:space="preserve">，单车约 </t>
    </r>
    <r>
      <rPr>
        <sz val="11"/>
        <rFont val="Linux Libertine G"/>
        <family val="2"/>
        <charset val="1"/>
      </rPr>
      <t xml:space="preserve">$1,900</t>
    </r>
  </si>
  <si>
    <r>
      <rPr>
        <sz val="11"/>
        <rFont val="Linux Libertine G"/>
        <family val="2"/>
        <charset val="1"/>
      </rPr>
      <t xml:space="preserve">D4 </t>
    </r>
    <r>
      <rPr>
        <sz val="11"/>
        <rFont val="Linux Libertine G"/>
        <family val="2"/>
      </rPr>
      <t xml:space="preserve">初版又按 </t>
    </r>
    <r>
      <rPr>
        <sz val="11"/>
        <rFont val="Linux Libertine G"/>
        <family val="2"/>
        <charset val="1"/>
      </rPr>
      <t xml:space="preserve">Likely to buy </t>
    </r>
    <r>
      <rPr>
        <sz val="11"/>
        <rFont val="Linux Libertine G"/>
        <family val="2"/>
      </rPr>
      <t xml:space="preserve">选了 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3U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61.4%</t>
    </r>
    <r>
      <rPr>
        <sz val="11"/>
        <rFont val="Linux Libertine G"/>
        <family val="2"/>
      </rPr>
      <t xml:space="preserve">）和 </t>
    </r>
    <r>
      <rPr>
        <sz val="11"/>
        <rFont val="Linux Libertine G"/>
        <family val="2"/>
        <charset val="1"/>
      </rPr>
      <t xml:space="preserve">Cargo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1T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43.7%</t>
    </r>
    <r>
      <rPr>
        <sz val="11"/>
        <rFont val="Linux Libertine G"/>
        <family val="2"/>
      </rPr>
      <t xml:space="preserve">）；复查发现 </t>
    </r>
    <r>
      <rPr>
        <sz val="11"/>
        <rFont val="Linux Libertine G"/>
        <family val="2"/>
        <charset val="1"/>
      </rPr>
      <t xml:space="preserve">3U </t>
    </r>
    <r>
      <rPr>
        <sz val="11"/>
        <rFont val="Linux Libertine G"/>
        <family val="2"/>
      </rPr>
      <t xml:space="preserve">价格上限 </t>
    </r>
    <r>
      <rPr>
        <sz val="11"/>
        <rFont val="Linux Libertine G"/>
        <family val="2"/>
        <charset val="1"/>
      </rPr>
      <t xml:space="preserve">$26K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Cargo </t>
    </r>
    <r>
      <rPr>
        <sz val="11"/>
        <rFont val="Linux Libertine G"/>
        <family val="2"/>
      </rPr>
      <t xml:space="preserve">会抢 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在 </t>
    </r>
    <r>
      <rPr>
        <sz val="11"/>
        <rFont val="Linux Libertine G"/>
        <family val="2"/>
        <charset val="1"/>
      </rPr>
      <t xml:space="preserve">1T </t>
    </r>
    <r>
      <rPr>
        <sz val="11"/>
        <rFont val="Linux Libertine G"/>
        <family val="2"/>
      </rPr>
      <t xml:space="preserve">的约 </t>
    </r>
    <r>
      <rPr>
        <sz val="11"/>
        <rFont val="Linux Libertine G"/>
        <family val="2"/>
        <charset val="1"/>
      </rPr>
      <t xml:space="preserve">184K </t>
    </r>
    <r>
      <rPr>
        <sz val="11"/>
        <rFont val="Linux Libertine G"/>
        <family val="2"/>
      </rPr>
      <t xml:space="preserve">辆</t>
    </r>
  </si>
  <si>
    <r>
      <rPr>
        <sz val="11"/>
        <rFont val="Linux Libertine G"/>
        <family val="2"/>
      </rPr>
      <t xml:space="preserve">两款都取消，改做 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降成本；做新车前先算单车毛利和自家车型重叠</t>
    </r>
  </si>
  <si>
    <t xml:space="preserve">新车的变动成本</t>
  </si>
  <si>
    <r>
      <rPr>
        <sz val="11"/>
        <rFont val="Linux Libertine G"/>
        <family val="2"/>
      </rPr>
      <t xml:space="preserve">按 </t>
    </r>
    <r>
      <rPr>
        <sz val="11"/>
        <rFont val="Linux Libertine G"/>
        <family val="2"/>
        <charset val="1"/>
      </rPr>
      <t xml:space="preserve">Base Cost </t>
    </r>
    <r>
      <rPr>
        <sz val="11"/>
        <rFont val="Linux Libertine G"/>
        <family val="2"/>
      </rPr>
      <t xml:space="preserve">算</t>
    </r>
  </si>
  <si>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里 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变动成本 </t>
    </r>
    <r>
      <rPr>
        <sz val="11"/>
        <rFont val="Linux Libertine G"/>
        <family val="2"/>
        <charset val="1"/>
      </rPr>
      <t xml:space="preserve">$20,951</t>
    </r>
    <r>
      <rPr>
        <sz val="11"/>
        <rFont val="Linux Libertine G"/>
        <family val="2"/>
      </rPr>
      <t xml:space="preserve">，比 </t>
    </r>
    <r>
      <rPr>
        <sz val="11"/>
        <rFont val="Linux Libertine G"/>
        <family val="2"/>
        <charset val="1"/>
      </rPr>
      <t xml:space="preserve">Base Cost $22,802 </t>
    </r>
    <r>
      <rPr>
        <sz val="11"/>
        <rFont val="Linux Libertine G"/>
        <family val="2"/>
      </rPr>
      <t xml:space="preserve">低 </t>
    </r>
    <r>
      <rPr>
        <sz val="11"/>
        <rFont val="Linux Libertine G"/>
        <family val="2"/>
        <charset val="1"/>
      </rPr>
      <t xml:space="preserve">8%</t>
    </r>
    <r>
      <rPr>
        <sz val="11"/>
        <rFont val="Linux Libertine G"/>
        <family val="2"/>
      </rPr>
      <t xml:space="preserve">；老车型变动成本 </t>
    </r>
    <r>
      <rPr>
        <sz val="11"/>
        <rFont val="Linux Libertine G"/>
        <family val="2"/>
        <charset val="1"/>
      </rPr>
      <t xml:space="preserve">= Base Cost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</si>
  <si>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Base Cost </t>
    </r>
    <r>
      <rPr>
        <sz val="11"/>
        <rFont val="Linux Libertine G"/>
        <family val="2"/>
      </rPr>
      <t xml:space="preserve">按 </t>
    </r>
    <r>
      <rPr>
        <sz val="11"/>
        <rFont val="Linux Libertine G"/>
        <family val="2"/>
        <charset val="1"/>
      </rPr>
      <t xml:space="preserve">10 </t>
    </r>
    <r>
      <rPr>
        <sz val="11"/>
        <rFont val="Linux Libertine G"/>
        <family val="2"/>
      </rPr>
      <t xml:space="preserve">万辆估，量大会便宜；就算低 </t>
    </r>
    <r>
      <rPr>
        <sz val="11"/>
        <rFont val="Linux Libertine G"/>
        <family val="2"/>
        <charset val="1"/>
      </rPr>
      <t xml:space="preserve">8%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Cargo </t>
    </r>
    <r>
      <rPr>
        <sz val="11"/>
        <rFont val="Linux Libertine G"/>
        <family val="2"/>
      </rPr>
      <t xml:space="preserve">单车也只有约 </t>
    </r>
    <r>
      <rPr>
        <sz val="11"/>
        <rFont val="Linux Libertine G"/>
        <family val="2"/>
        <charset val="1"/>
      </rPr>
      <t xml:space="preserve">$2,600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$3,900</t>
    </r>
  </si>
  <si>
    <t xml:space="preserve">降成本的成本</t>
  </si>
  <si>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降成本开发费 </t>
    </r>
    <r>
      <rPr>
        <sz val="11"/>
        <rFont val="Linux Libertine G"/>
        <family val="2"/>
        <charset val="1"/>
      </rPr>
      <t xml:space="preserve">$192M</t>
    </r>
  </si>
  <si>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降成本也都是 </t>
    </r>
    <r>
      <rPr>
        <sz val="11"/>
        <rFont val="Linux Libertine G"/>
        <family val="2"/>
        <charset val="1"/>
      </rPr>
      <t xml:space="preserve">$192M</t>
    </r>
    <r>
      <rPr>
        <sz val="11"/>
        <rFont val="Linux Libertine G"/>
        <family val="2"/>
      </rPr>
      <t xml:space="preserve">，每辆省 </t>
    </r>
    <r>
      <rPr>
        <sz val="11"/>
        <rFont val="Linux Libertine G"/>
        <family val="2"/>
        <charset val="1"/>
      </rPr>
      <t xml:space="preserve">$299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$234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retooling </t>
    </r>
    <r>
      <rPr>
        <sz val="11"/>
        <rFont val="Linux Libertine G"/>
        <family val="2"/>
      </rPr>
      <t xml:space="preserve">合计多约 </t>
    </r>
    <r>
      <rPr>
        <sz val="11"/>
        <rFont val="Linux Libertine G"/>
        <family val="2"/>
        <charset val="1"/>
      </rPr>
      <t xml:space="preserve">$258M</t>
    </r>
  </si>
  <si>
    <r>
      <rPr>
        <sz val="11"/>
        <rFont val="Linux Libertine G"/>
        <family val="2"/>
      </rPr>
      <t xml:space="preserve">降成本的成本 </t>
    </r>
    <r>
      <rPr>
        <sz val="11"/>
        <rFont val="Linux Libertine G"/>
        <family val="2"/>
        <charset val="1"/>
      </rPr>
      <t xml:space="preserve">= </t>
    </r>
    <r>
      <rPr>
        <sz val="11"/>
        <rFont val="Linux Libertine G"/>
        <family val="2"/>
      </rPr>
      <t xml:space="preserve">开发费 </t>
    </r>
    <r>
      <rPr>
        <sz val="11"/>
        <rFont val="Linux Libertine G"/>
        <family val="2"/>
        <charset val="1"/>
      </rPr>
      <t xml:space="preserve">+ retooling</t>
    </r>
  </si>
  <si>
    <r>
      <rPr>
        <sz val="11"/>
        <rFont val="Linux Libertine G"/>
        <family val="2"/>
        <charset val="1"/>
      </rPr>
      <t xml:space="preserve">Retooling </t>
    </r>
    <r>
      <rPr>
        <sz val="11"/>
        <rFont val="Linux Libertine G"/>
        <family val="2"/>
      </rPr>
      <t xml:space="preserve">和排产</t>
    </r>
  </si>
  <si>
    <t xml:space="preserve">没注意过</t>
  </si>
  <si>
    <r>
      <rPr>
        <sz val="11"/>
        <rFont val="Linux Libertine G"/>
        <family val="2"/>
      </rPr>
      <t xml:space="preserve">做降成本的车，</t>
    </r>
    <r>
      <rPr>
        <sz val="11"/>
        <rFont val="Linux Libertine G"/>
        <family val="2"/>
        <charset val="1"/>
      </rPr>
      <t xml:space="preserve">retooling </t>
    </r>
    <r>
      <rPr>
        <sz val="11"/>
        <rFont val="Linux Libertine G"/>
        <family val="2"/>
      </rPr>
      <t xml:space="preserve">跟着排产涨：</t>
    </r>
    <r>
      <rPr>
        <sz val="11"/>
        <rFont val="Linux Libertine G"/>
        <family val="2"/>
        <charset val="1"/>
      </rPr>
      <t xml:space="preserve">Cafav 1,050K → 1,150K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$438M → $591M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Crash 480K → 520K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$173M → $240M</t>
    </r>
  </si>
  <si>
    <r>
      <rPr>
        <sz val="11"/>
        <rFont val="Linux Libertine G"/>
        <family val="2"/>
      </rPr>
      <t xml:space="preserve">每多排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辆约 </t>
    </r>
    <r>
      <rPr>
        <sz val="11"/>
        <rFont val="Linux Libertine G"/>
        <family val="2"/>
        <charset val="1"/>
      </rPr>
      <t xml:space="preserve">$1,500–1,700</t>
    </r>
    <r>
      <rPr>
        <sz val="11"/>
        <rFont val="Linux Libertine G"/>
        <family val="2"/>
      </rPr>
      <t xml:space="preserve">，比单车贡献约 </t>
    </r>
    <r>
      <rPr>
        <sz val="11"/>
        <rFont val="Linux Libertine G"/>
        <family val="2"/>
        <charset val="1"/>
      </rPr>
      <t xml:space="preserve">$10K </t>
    </r>
    <r>
      <rPr>
        <sz val="11"/>
        <rFont val="Linux Libertine G"/>
        <family val="2"/>
      </rPr>
      <t xml:space="preserve">小得多，多排照样划算</t>
    </r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</si>
  <si>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份额</t>
    </r>
  </si>
  <si>
    <r>
      <rPr>
        <sz val="11"/>
        <rFont val="Linux Libertine G"/>
        <family val="2"/>
      </rPr>
      <t xml:space="preserve">练习轮：车型升级那年 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会低估需求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</si>
  <si>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baseline </t>
    </r>
    <r>
      <rPr>
        <sz val="11"/>
        <rFont val="Linux Libertine G"/>
        <family val="2"/>
      </rPr>
      <t xml:space="preserve">份额就是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的实际份额（</t>
    </r>
    <r>
      <rPr>
        <sz val="11"/>
        <rFont val="Linux Libertine G"/>
        <family val="2"/>
        <charset val="1"/>
      </rPr>
      <t xml:space="preserve">Cafav 9.1% = 968K / 10,670K</t>
    </r>
    <r>
      <rPr>
        <sz val="11"/>
        <rFont val="Linux Libertine G"/>
        <family val="2"/>
      </rPr>
      <t xml:space="preserve">），而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是被产量卡住的</t>
    </r>
  </si>
  <si>
    <r>
      <rPr>
        <sz val="11"/>
        <rFont val="Linux Libertine G"/>
        <family val="2"/>
        <charset val="1"/>
      </rPr>
      <t xml:space="preserve">[</t>
    </r>
    <r>
      <rPr>
        <sz val="11"/>
        <rFont val="Linux Libertine G"/>
        <family val="2"/>
      </rPr>
      <t xml:space="preserve">推断</t>
    </r>
    <r>
      <rPr>
        <sz val="11"/>
        <rFont val="Linux Libertine G"/>
        <family val="2"/>
        <charset val="1"/>
      </rPr>
      <t xml:space="preserve">] </t>
    </r>
    <r>
      <rPr>
        <sz val="11"/>
        <rFont val="Linux Libertine G"/>
        <family val="2"/>
      </rPr>
      <t xml:space="preserve">缺货的车，</t>
    </r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会低估需求；排产要比它多排</t>
    </r>
  </si>
  <si>
    <t xml:space="preserve">对手新类别车的上市时间</t>
  </si>
  <si>
    <r>
      <rPr>
        <sz val="11"/>
        <rFont val="Linux Libertine G"/>
        <family val="2"/>
      </rPr>
      <t xml:space="preserve">曾推断“新类别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年，最早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上市”</t>
    </r>
  </si>
  <si>
    <r>
      <rPr>
        <sz val="11"/>
        <rFont val="Linux Libertine G"/>
        <family val="2"/>
      </rPr>
      <t xml:space="preserve">操作手册：对手的新类别计划（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年项目）在上市前一期的 </t>
    </r>
    <r>
      <rPr>
        <sz val="11"/>
        <rFont val="Linux Libertine G"/>
        <family val="2"/>
        <charset val="1"/>
      </rPr>
      <t xml:space="preserve">Industry News </t>
    </r>
    <r>
      <rPr>
        <sz val="11"/>
        <rFont val="Linux Libertine G"/>
        <family val="2"/>
      </rPr>
      <t xml:space="preserve">公布</t>
    </r>
  </si>
  <si>
    <r>
      <rPr>
        <sz val="11"/>
        <rFont val="Linux Libertine G"/>
        <family val="2"/>
        <charset val="1"/>
      </rPr>
      <t xml:space="preserve">D Y3 </t>
    </r>
    <r>
      <rPr>
        <sz val="11"/>
        <rFont val="Linux Libertine G"/>
        <family val="2"/>
      </rPr>
      <t xml:space="preserve">宣布做 </t>
    </r>
    <r>
      <rPr>
        <sz val="11"/>
        <rFont val="Linux Libertine G"/>
        <family val="2"/>
        <charset val="1"/>
      </rPr>
      <t xml:space="preserve">Utility → Y4 </t>
    </r>
    <r>
      <rPr>
        <sz val="11"/>
        <rFont val="Linux Libertine G"/>
        <family val="2"/>
      </rPr>
      <t xml:space="preserve">就会上市，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不加排产</t>
    </r>
  </si>
  <si>
    <t xml:space="preserve">老师视频</t>
  </si>
  <si>
    <r>
      <rPr>
        <sz val="11"/>
        <rFont val="Linux Libertine G"/>
        <family val="2"/>
      </rPr>
      <t xml:space="preserve">老师用 </t>
    </r>
    <r>
      <rPr>
        <sz val="11"/>
        <rFont val="Linux Libertine G"/>
        <family val="2"/>
        <charset val="1"/>
      </rPr>
      <t xml:space="preserve">C2 </t>
    </r>
    <r>
      <rPr>
        <sz val="11"/>
        <rFont val="Linux Libertine G"/>
        <family val="2"/>
      </rPr>
      <t xml:space="preserve">数据强调：缺货 </t>
    </r>
    <r>
      <rPr>
        <sz val="11"/>
        <rFont val="Linux Libertine G"/>
        <family val="2"/>
        <charset val="1"/>
      </rPr>
      <t xml:space="preserve">= </t>
    </r>
    <r>
      <rPr>
        <sz val="11"/>
        <rFont val="Linux Libertine G"/>
        <family val="2"/>
      </rPr>
      <t xml:space="preserve">没赚到的钱，提价或多产；库存少于 </t>
    </r>
    <r>
      <rPr>
        <sz val="11"/>
        <rFont val="Linux Libertine G"/>
        <family val="2"/>
        <charset val="1"/>
      </rPr>
      <t xml:space="preserve">30 </t>
    </r>
    <r>
      <rPr>
        <sz val="11"/>
        <rFont val="Linux Libertine G"/>
        <family val="2"/>
      </rPr>
      <t xml:space="preserve">天就好</t>
    </r>
  </si>
  <si>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多排产；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提价到 </t>
    </r>
    <r>
      <rPr>
        <sz val="11"/>
        <rFont val="Linux Libertine G"/>
        <family val="2"/>
        <charset val="1"/>
      </rPr>
      <t xml:space="preserve">$40K</t>
    </r>
  </si>
  <si>
    <t xml:space="preserve">新类别的上市时间</t>
  </si>
  <si>
    <r>
      <rPr>
        <sz val="11"/>
        <rFont val="Linux Libertine G"/>
        <family val="2"/>
      </rPr>
      <t xml:space="preserve">练习轮：新类别开发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</t>
    </r>
  </si>
  <si>
    <r>
      <rPr>
        <sz val="11"/>
        <rFont val="Linux Libertine G"/>
        <family val="2"/>
        <charset val="1"/>
      </rPr>
      <t xml:space="preserve">Chow </t>
    </r>
    <r>
      <rPr>
        <sz val="11"/>
        <rFont val="Linux Libertine G"/>
        <family val="2"/>
      </rPr>
      <t xml:space="preserve">开工后系统显示 </t>
    </r>
    <r>
      <rPr>
        <sz val="11"/>
        <rFont val="Linux Libertine G"/>
        <family val="2"/>
        <charset val="1"/>
      </rPr>
      <t xml:space="preserve">New Platform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Launching Y#6</t>
    </r>
    <r>
      <rPr>
        <sz val="11"/>
        <rFont val="Linux Libertine G"/>
        <family val="2"/>
      </rPr>
      <t xml:space="preserve">：开工那年算第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年，第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年上市（之前说“</t>
    </r>
    <r>
      <rPr>
        <sz val="11"/>
        <rFont val="Linux Libertine G"/>
        <family val="2"/>
        <charset val="1"/>
      </rPr>
      <t xml:space="preserve">Y7 </t>
    </r>
    <r>
      <rPr>
        <sz val="11"/>
        <rFont val="Linux Libertine G"/>
        <family val="2"/>
      </rPr>
      <t xml:space="preserve">上市”是错的）</t>
    </r>
  </si>
  <si>
    <r>
      <rPr>
        <sz val="11"/>
        <rFont val="Linux Libertine G"/>
        <family val="2"/>
        <charset val="1"/>
      </rPr>
      <t xml:space="preserve">D5 </t>
    </r>
    <r>
      <rPr>
        <sz val="11"/>
        <rFont val="Linux Libertine G"/>
        <family val="2"/>
      </rPr>
      <t xml:space="preserve">再开始新类别要 </t>
    </r>
    <r>
      <rPr>
        <sz val="11"/>
        <rFont val="Linux Libertine G"/>
        <family val="2"/>
        <charset val="1"/>
      </rPr>
      <t xml:space="preserve">Y7</t>
    </r>
    <r>
      <rPr>
        <sz val="11"/>
        <rFont val="Linux Libertine G"/>
        <family val="2"/>
      </rPr>
      <t xml:space="preserve">，赶不上；已有类别 </t>
    </r>
    <r>
      <rPr>
        <sz val="11"/>
        <rFont val="Linux Libertine G"/>
        <family val="2"/>
        <charset val="1"/>
      </rPr>
      <t xml:space="preserve">D5 </t>
    </r>
    <r>
      <rPr>
        <sz val="11"/>
        <rFont val="Linux Libertine G"/>
        <family val="2"/>
      </rPr>
      <t xml:space="preserve">开工 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上市</t>
    </r>
  </si>
  <si>
    <r>
      <rPr>
        <sz val="11"/>
        <rFont val="Linux Libertine G"/>
        <family val="2"/>
        <charset val="1"/>
      </rPr>
      <t xml:space="preserve">3S </t>
    </r>
    <r>
      <rPr>
        <sz val="11"/>
        <rFont val="Linux Libertine G"/>
        <family val="2"/>
      </rPr>
      <t xml:space="preserve">的类别</t>
    </r>
  </si>
  <si>
    <r>
      <rPr>
        <sz val="11"/>
        <rFont val="Linux Libertine G"/>
        <family val="2"/>
      </rPr>
      <t xml:space="preserve">练习轮把 </t>
    </r>
    <r>
      <rPr>
        <sz val="11"/>
        <rFont val="Linux Libertine G"/>
        <family val="2"/>
        <charset val="1"/>
      </rPr>
      <t xml:space="preserve">3S </t>
    </r>
    <r>
      <rPr>
        <sz val="11"/>
        <rFont val="Linux Libertine G"/>
        <family val="2"/>
      </rPr>
      <t xml:space="preserve">当成家用车也能卖的市场</t>
    </r>
  </si>
  <si>
    <r>
      <rPr>
        <sz val="11"/>
        <rFont val="Linux Libertine G"/>
        <family val="2"/>
        <charset val="1"/>
      </rPr>
      <t xml:space="preserve">3S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Desired Class </t>
    </r>
    <r>
      <rPr>
        <sz val="11"/>
        <rFont val="Linux Libertine G"/>
        <family val="2"/>
      </rPr>
      <t xml:space="preserve">就是 </t>
    </r>
    <r>
      <rPr>
        <sz val="11"/>
        <rFont val="Linux Libertine G"/>
        <family val="2"/>
        <charset val="1"/>
      </rPr>
      <t xml:space="preserve">Sports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540K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+15.7%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$24–36K</t>
    </r>
    <r>
      <rPr>
        <sz val="11"/>
        <rFont val="Linux Libertine G"/>
        <family val="2"/>
      </rPr>
      <t xml:space="preserve">），没有任何跑车，</t>
    </r>
    <r>
      <rPr>
        <sz val="11"/>
        <rFont val="Linux Libertine G"/>
        <family val="2"/>
        <charset val="1"/>
      </rPr>
      <t xml:space="preserve">Cafav 19.2% </t>
    </r>
    <r>
      <rPr>
        <sz val="11"/>
        <rFont val="Linux Libertine G"/>
        <family val="2"/>
      </rPr>
      <t xml:space="preserve">第一</t>
    </r>
  </si>
  <si>
    <r>
      <rPr>
        <sz val="11"/>
        <rFont val="Linux Libertine G"/>
        <family val="2"/>
      </rPr>
      <t xml:space="preserve">做 </t>
    </r>
    <r>
      <rPr>
        <sz val="11"/>
        <rFont val="Linux Libertine G"/>
        <family val="2"/>
        <charset val="1"/>
      </rPr>
      <t xml:space="preserve">Chow </t>
    </r>
    <r>
      <rPr>
        <sz val="11"/>
        <rFont val="Linux Libertine G"/>
        <family val="2"/>
      </rPr>
      <t xml:space="preserve">进 </t>
    </r>
    <r>
      <rPr>
        <sz val="11"/>
        <rFont val="Linux Libertine G"/>
        <family val="2"/>
        <charset val="1"/>
      </rPr>
      <t xml:space="preserve">3S</t>
    </r>
  </si>
  <si>
    <t xml:space="preserve">概念车的用法</t>
  </si>
  <si>
    <r>
      <rPr>
        <sz val="11"/>
        <rFont val="Linux Libertine G"/>
        <family val="2"/>
      </rPr>
      <t xml:space="preserve">在研发页面建概念车就能看到 </t>
    </r>
    <r>
      <rPr>
        <sz val="11"/>
        <rFont val="Linux Libertine G"/>
        <family val="2"/>
        <charset val="1"/>
      </rPr>
      <t xml:space="preserve">Base Cost</t>
    </r>
    <r>
      <rPr>
        <sz val="11"/>
        <rFont val="Linux Libertine G"/>
        <family val="2"/>
      </rPr>
      <t xml:space="preserve">、开发费和开发时间，不花测试次数；同类别同尺寸同 </t>
    </r>
    <r>
      <rPr>
        <sz val="11"/>
        <rFont val="Linux Libertine G"/>
        <family val="2"/>
        <charset val="1"/>
      </rPr>
      <t xml:space="preserve">HP </t>
    </r>
    <r>
      <rPr>
        <sz val="11"/>
        <rFont val="Linux Libertine G"/>
        <family val="2"/>
      </rPr>
      <t xml:space="preserve">不能存两个</t>
    </r>
  </si>
  <si>
    <r>
      <rPr>
        <sz val="11"/>
        <rFont val="Linux Libertine G"/>
        <family val="2"/>
      </rPr>
      <t xml:space="preserve">选配置先建概念车比成本，看完删掉，保持 </t>
    </r>
    <r>
      <rPr>
        <sz val="11"/>
        <rFont val="Linux Libertine G"/>
        <family val="2"/>
        <charset val="1"/>
      </rPr>
      <t xml:space="preserve">Alerts </t>
    </r>
    <r>
      <rPr>
        <sz val="11"/>
        <rFont val="Linux Libertine G"/>
        <family val="2"/>
      </rPr>
      <t xml:space="preserve">为 </t>
    </r>
    <r>
      <rPr>
        <sz val="11"/>
        <rFont val="Linux Libertine G"/>
        <family val="2"/>
        <charset val="1"/>
      </rPr>
      <t xml:space="preserve">0</t>
    </r>
  </si>
  <si>
    <t xml:space="preserve">10/27</t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</si>
  <si>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结果</t>
    </r>
  </si>
  <si>
    <t xml:space="preserve">缺货的车</t>
  </si>
  <si>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：三款老车缺货 </t>
    </r>
    <r>
      <rPr>
        <sz val="11"/>
        <rFont val="Linux Libertine G"/>
        <family val="2"/>
        <charset val="1"/>
      </rPr>
      <t xml:space="preserve">10–30%</t>
    </r>
  </si>
  <si>
    <r>
      <rPr>
        <sz val="11"/>
        <rFont val="Linux Libertine G"/>
        <family val="2"/>
        <charset val="1"/>
      </rPr>
      <t xml:space="preserve">Canyon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缺货 </t>
    </r>
    <r>
      <rPr>
        <sz val="11"/>
        <rFont val="Linux Libertine G"/>
        <family val="2"/>
        <charset val="1"/>
      </rPr>
      <t xml:space="preserve">&gt;30%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压了 </t>
    </r>
    <r>
      <rPr>
        <sz val="11"/>
        <rFont val="Linux Libertine G"/>
        <family val="2"/>
        <charset val="1"/>
      </rPr>
      <t xml:space="preserve">74K</t>
    </r>
  </si>
  <si>
    <t xml:space="preserve">产能按单车贡献给缺货的车</t>
  </si>
  <si>
    <r>
      <rPr>
        <sz val="11"/>
        <rFont val="Linux Libertine G"/>
        <family val="2"/>
        <charset val="1"/>
      </rPr>
      <t xml:space="preserve">Y3 Canyon </t>
    </r>
    <r>
      <rPr>
        <sz val="11"/>
        <rFont val="Linux Libertine G"/>
        <family val="2"/>
      </rPr>
      <t xml:space="preserve">没减</t>
    </r>
  </si>
  <si>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产 </t>
    </r>
    <r>
      <rPr>
        <sz val="11"/>
        <rFont val="Linux Libertine G"/>
        <family val="2"/>
        <charset val="1"/>
      </rPr>
      <t xml:space="preserve">1,150K = </t>
    </r>
    <r>
      <rPr>
        <sz val="11"/>
        <rFont val="Linux Libertine G"/>
        <family val="2"/>
      </rPr>
      <t xml:space="preserve">排产，没减（压 </t>
    </r>
    <r>
      <rPr>
        <sz val="11"/>
        <rFont val="Linux Libertine G"/>
        <family val="2"/>
        <charset val="1"/>
      </rPr>
      <t xml:space="preserve">56K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</si>
  <si>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再次确认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不减产</t>
    </r>
  </si>
  <si>
    <t xml:space="preserve">对手动作</t>
  </si>
  <si>
    <r>
      <rPr>
        <sz val="11"/>
        <rFont val="Linux Libertine G"/>
        <family val="2"/>
        <charset val="1"/>
      </rPr>
      <t xml:space="preserve">A </t>
    </r>
    <r>
      <rPr>
        <sz val="11"/>
        <rFont val="Linux Libertine G"/>
        <family val="2"/>
      </rPr>
      <t xml:space="preserve">把 </t>
    </r>
    <r>
      <rPr>
        <sz val="11"/>
        <rFont val="Linux Libertine G"/>
        <family val="2"/>
        <charset val="1"/>
      </rPr>
      <t xml:space="preserve">Alfa </t>
    </r>
    <r>
      <rPr>
        <sz val="11"/>
        <rFont val="Linux Libertine G"/>
        <family val="2"/>
      </rPr>
      <t xml:space="preserve">升到 </t>
    </r>
    <r>
      <rPr>
        <sz val="11"/>
        <rFont val="Linux Libertine G"/>
        <family val="2"/>
        <charset val="1"/>
      </rPr>
      <t xml:space="preserve">Safety 6 / Quality 6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$23,998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推出 </t>
    </r>
    <r>
      <rPr>
        <sz val="11"/>
        <rFont val="Linux Libertine G"/>
        <family val="2"/>
        <charset val="1"/>
      </rPr>
      <t xml:space="preserve">Utility </t>
    </r>
    <r>
      <rPr>
        <sz val="11"/>
        <rFont val="Linux Libertine G"/>
        <family val="2"/>
      </rPr>
      <t xml:space="preserve">车 </t>
    </r>
    <r>
      <rPr>
        <sz val="11"/>
        <rFont val="Linux Libertine G"/>
        <family val="2"/>
        <charset val="1"/>
      </rPr>
      <t xml:space="preserve">du004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$30,000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5U 7.4%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推出家用车 </t>
    </r>
    <r>
      <rPr>
        <sz val="11"/>
        <rFont val="Linux Libertine G"/>
        <family val="2"/>
        <charset val="1"/>
      </rPr>
      <t xml:space="preserve">Gala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$24,000</t>
    </r>
    <r>
      <rPr>
        <sz val="11"/>
        <rFont val="Linux Libertine G"/>
        <family val="2"/>
      </rPr>
      <t xml:space="preserve">）、宣布做 </t>
    </r>
    <r>
      <rPr>
        <sz val="11"/>
        <rFont val="Linux Libertine G"/>
        <family val="2"/>
        <charset val="1"/>
      </rPr>
      <t xml:space="preserve">Minivan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净利 </t>
    </r>
    <r>
      <rPr>
        <sz val="11"/>
        <rFont val="Linux Libertine G"/>
        <family val="2"/>
        <charset val="1"/>
      </rPr>
      <t xml:space="preserve">+88%</t>
    </r>
  </si>
  <si>
    <r>
      <rPr>
        <sz val="11"/>
        <rFont val="Linux Libertine G"/>
        <family val="2"/>
        <charset val="1"/>
      </rPr>
      <t xml:space="preserve">Cafav minor</t>
    </r>
    <r>
      <rPr>
        <sz val="11"/>
        <rFont val="Linux Libertine G"/>
        <family val="2"/>
      </rPr>
      <t xml:space="preserve">；买 </t>
    </r>
    <r>
      <rPr>
        <sz val="11"/>
        <rFont val="Linux Libertine G"/>
        <family val="2"/>
        <charset val="1"/>
      </rPr>
      <t xml:space="preserve">Safety </t>
    </r>
    <r>
      <rPr>
        <sz val="11"/>
        <rFont val="Linux Libertine G"/>
        <family val="2"/>
      </rPr>
      <t xml:space="preserve">技术</t>
    </r>
  </si>
  <si>
    <r>
      <rPr>
        <sz val="11"/>
        <rFont val="Linux Libertine G"/>
        <family val="2"/>
      </rPr>
      <t xml:space="preserve">预测 </t>
    </r>
    <r>
      <rPr>
        <sz val="11"/>
        <rFont val="Linux Libertine G"/>
        <family val="2"/>
        <charset val="1"/>
      </rPr>
      <t xml:space="preserve">15,604K</t>
    </r>
  </si>
  <si>
    <r>
      <rPr>
        <sz val="11"/>
        <rFont val="Linux Libertine G"/>
        <family val="2"/>
      </rPr>
      <t xml:space="preserve">实际 </t>
    </r>
    <r>
      <rPr>
        <sz val="11"/>
        <rFont val="Linux Libertine G"/>
        <family val="2"/>
        <charset val="1"/>
      </rPr>
      <t xml:space="preserve">11,999K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77%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</si>
  <si>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练习轮高估约 </t>
    </r>
    <r>
      <rPr>
        <sz val="11"/>
        <rFont val="Linux Libertine G"/>
        <family val="2"/>
        <charset val="1"/>
      </rPr>
      <t xml:space="preserve">$700M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</si>
  <si>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低估 </t>
    </r>
    <r>
      <rPr>
        <sz val="11"/>
        <rFont val="Linux Libertine G"/>
        <family val="2"/>
        <charset val="1"/>
      </rPr>
      <t xml:space="preserve">$316M</t>
    </r>
    <r>
      <rPr>
        <sz val="11"/>
        <rFont val="Linux Libertine G"/>
        <family val="2"/>
      </rPr>
      <t xml:space="preserve">（缺货的车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多卖）</t>
    </r>
  </si>
  <si>
    <t xml:space="preserve">D5</t>
  </si>
  <si>
    <t xml:space="preserve">经济环境</t>
  </si>
  <si>
    <t xml:space="preserve">练习轮没碰到</t>
  </si>
  <si>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预测 </t>
    </r>
    <r>
      <rPr>
        <sz val="11"/>
        <rFont val="Linux Libertine G"/>
        <family val="2"/>
        <charset val="1"/>
      </rPr>
      <t xml:space="preserve">GDP −1.5%</t>
    </r>
    <r>
      <rPr>
        <sz val="11"/>
        <rFont val="Linux Libertine G"/>
        <family val="2"/>
      </rPr>
      <t xml:space="preserve">、油价 </t>
    </r>
    <r>
      <rPr>
        <sz val="11"/>
        <rFont val="Linux Libertine G"/>
        <family val="2"/>
        <charset val="1"/>
      </rPr>
      <t xml:space="preserve">$3.50 → $4.90</t>
    </r>
    <r>
      <rPr>
        <sz val="11"/>
        <rFont val="Linux Libertine G"/>
        <family val="2"/>
      </rPr>
      <t xml:space="preserve">；轿车销量预测 </t>
    </r>
    <r>
      <rPr>
        <sz val="11"/>
        <rFont val="Linux Libertine G"/>
        <family val="2"/>
        <charset val="1"/>
      </rPr>
      <t xml:space="preserve">+31%</t>
    </r>
    <r>
      <rPr>
        <sz val="11"/>
        <rFont val="Linux Libertine G"/>
        <family val="2"/>
      </rPr>
      <t xml:space="preserve">、卡车 −</t>
    </r>
    <r>
      <rPr>
        <sz val="11"/>
        <rFont val="Linux Libertine G"/>
        <family val="2"/>
        <charset val="1"/>
      </rPr>
      <t xml:space="preserve">5%</t>
    </r>
  </si>
  <si>
    <t xml:space="preserve">按持平的市场排产</t>
  </si>
  <si>
    <r>
      <rPr>
        <sz val="11"/>
        <rFont val="Linux Libertine G"/>
        <family val="2"/>
        <charset val="1"/>
      </rPr>
      <t xml:space="preserve">Base Cost </t>
    </r>
    <r>
      <rPr>
        <sz val="11"/>
        <rFont val="Linux Libertine G"/>
        <family val="2"/>
      </rPr>
      <t xml:space="preserve">上涨</t>
    </r>
  </si>
  <si>
    <r>
      <rPr>
        <sz val="11"/>
        <rFont val="Linux Libertine G"/>
        <family val="2"/>
        <charset val="1"/>
      </rPr>
      <t xml:space="preserve">Cafav $14,887 → $15,137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$13,790 → $14,059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Chow $22,341 → $22,899</t>
    </r>
    <r>
      <rPr>
        <sz val="11"/>
        <rFont val="Linux Libertine G"/>
        <family val="2"/>
      </rPr>
      <t xml:space="preserve">（约 </t>
    </r>
    <r>
      <rPr>
        <sz val="11"/>
        <rFont val="Linux Libertine G"/>
        <family val="2"/>
        <charset val="1"/>
      </rPr>
      <t xml:space="preserve">+2–3%</t>
    </r>
    <r>
      <rPr>
        <sz val="11"/>
        <rFont val="Linux Libertine G"/>
        <family val="2"/>
      </rPr>
      <t xml:space="preserve">）；</t>
    </r>
    <r>
      <rPr>
        <sz val="11"/>
        <rFont val="Linux Libertine G"/>
        <family val="2"/>
        <charset val="1"/>
      </rPr>
      <t xml:space="preserve">Canyon </t>
    </r>
    <r>
      <rPr>
        <sz val="11"/>
        <rFont val="Linux Libertine G"/>
        <family val="2"/>
      </rPr>
      <t xml:space="preserve">反而降到 </t>
    </r>
    <r>
      <rPr>
        <sz val="11"/>
        <rFont val="Linux Libertine G"/>
        <family val="2"/>
        <charset val="1"/>
      </rPr>
      <t xml:space="preserve">$19,804</t>
    </r>
  </si>
  <si>
    <r>
      <rPr>
        <sz val="11"/>
        <rFont val="Linux Libertine G"/>
        <family val="2"/>
      </rPr>
      <t xml:space="preserve">定价和 </t>
    </r>
    <r>
      <rPr>
        <sz val="11"/>
        <rFont val="Linux Libertine G"/>
        <family val="2"/>
        <charset val="1"/>
      </rPr>
      <t xml:space="preserve">Chow </t>
    </r>
    <r>
      <rPr>
        <sz val="11"/>
        <rFont val="Linux Libertine G"/>
        <family val="2"/>
      </rPr>
      <t xml:space="preserve">毛利按新成本算</t>
    </r>
  </si>
  <si>
    <r>
      <rPr>
        <sz val="11"/>
        <rFont val="Linux Libertine G"/>
        <family val="2"/>
        <charset val="1"/>
      </rPr>
      <t xml:space="preserve">minor </t>
    </r>
    <r>
      <rPr>
        <sz val="11"/>
        <rFont val="Linux Libertine G"/>
        <family val="2"/>
      </rPr>
      <t xml:space="preserve">自带降成本</t>
    </r>
  </si>
  <si>
    <r>
      <rPr>
        <sz val="11"/>
        <rFont val="Linux Libertine G"/>
        <family val="2"/>
        <charset val="1"/>
      </rPr>
      <t xml:space="preserve">Cafav minor </t>
    </r>
    <r>
      <rPr>
        <sz val="11"/>
        <rFont val="Linux Libertine G"/>
        <family val="2"/>
      </rPr>
      <t xml:space="preserve">不改属性时 </t>
    </r>
    <r>
      <rPr>
        <sz val="11"/>
        <rFont val="Linux Libertine G"/>
        <family val="2"/>
        <charset val="1"/>
      </rPr>
      <t xml:space="preserve">Base Cost $15,137 → $14,830</t>
    </r>
    <r>
      <rPr>
        <sz val="11"/>
        <rFont val="Linux Libertine G"/>
        <family val="2"/>
      </rPr>
      <t xml:space="preserve">；加 </t>
    </r>
    <r>
      <rPr>
        <sz val="11"/>
        <rFont val="Linux Libertine G"/>
        <family val="2"/>
        <charset val="1"/>
      </rPr>
      <t xml:space="preserve">Safety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Quality </t>
    </r>
    <r>
      <rPr>
        <sz val="11"/>
        <rFont val="Linux Libertine G"/>
        <family val="2"/>
      </rPr>
      <t xml:space="preserve">后 </t>
    </r>
    <r>
      <rPr>
        <sz val="11"/>
        <rFont val="Linux Libertine G"/>
        <family val="2"/>
        <charset val="1"/>
      </rPr>
      <t xml:space="preserve">$15,270</t>
    </r>
  </si>
  <si>
    <r>
      <rPr>
        <sz val="11"/>
        <rFont val="Linux Libertine G"/>
        <family val="2"/>
        <charset val="1"/>
      </rPr>
      <t xml:space="preserve">minor </t>
    </r>
    <r>
      <rPr>
        <sz val="11"/>
        <rFont val="Linux Libertine G"/>
        <family val="2"/>
      </rPr>
      <t xml:space="preserve">比降成本只多花属性的钱</t>
    </r>
  </si>
  <si>
    <t xml:space="preserve">库存报废的成本</t>
  </si>
  <si>
    <t xml:space="preserve">只知道会报废</t>
  </si>
  <si>
    <r>
      <rPr>
        <sz val="11"/>
        <rFont val="Linux Libertine G"/>
        <family val="2"/>
        <charset val="1"/>
      </rPr>
      <t xml:space="preserve">Cafav 56K </t>
    </r>
    <r>
      <rPr>
        <sz val="11"/>
        <rFont val="Linux Libertine G"/>
        <family val="2"/>
      </rPr>
      <t xml:space="preserve">辆报废只记 </t>
    </r>
    <r>
      <rPr>
        <sz val="11"/>
        <rFont val="Linux Libertine G"/>
        <family val="2"/>
        <charset val="1"/>
      </rPr>
      <t xml:space="preserve">$89M</t>
    </r>
    <r>
      <rPr>
        <sz val="11"/>
        <rFont val="Linux Libertine G"/>
        <family val="2"/>
      </rPr>
      <t xml:space="preserve">（约每辆 </t>
    </r>
    <r>
      <rPr>
        <sz val="11"/>
        <rFont val="Linux Libertine G"/>
        <family val="2"/>
        <charset val="1"/>
      </rPr>
      <t xml:space="preserve">$1,600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</si>
  <si>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有库存的车做 </t>
    </r>
    <r>
      <rPr>
        <sz val="11"/>
        <rFont val="Linux Libertine G"/>
        <family val="2"/>
        <charset val="1"/>
      </rPr>
      <t xml:space="preserve">minor</t>
    </r>
    <r>
      <rPr>
        <sz val="11"/>
        <rFont val="Linux Libertine G"/>
        <family val="2"/>
      </rPr>
      <t xml:space="preserve">，代价不大</t>
    </r>
  </si>
  <si>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CD 3.5%</t>
    </r>
    <r>
      <rPr>
        <sz val="11"/>
        <rFont val="Linux Libertine G"/>
        <family val="2"/>
      </rPr>
      <t xml:space="preserve">、短贷 </t>
    </r>
    <r>
      <rPr>
        <sz val="11"/>
        <rFont val="Linux Libertine G"/>
        <family val="2"/>
        <charset val="1"/>
      </rPr>
      <t xml:space="preserve">6.0%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4.0%</t>
    </r>
  </si>
  <si>
    <r>
      <rPr>
        <sz val="11"/>
        <rFont val="Linux Libertine G"/>
        <family val="2"/>
        <charset val="1"/>
      </rPr>
      <t xml:space="preserve">Y5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CD 3.0%</t>
    </r>
    <r>
      <rPr>
        <sz val="11"/>
        <rFont val="Linux Libertine G"/>
        <family val="2"/>
      </rPr>
      <t xml:space="preserve">、短贷 </t>
    </r>
    <r>
      <rPr>
        <sz val="11"/>
        <rFont val="Linux Libertine G"/>
        <family val="2"/>
        <charset val="1"/>
      </rPr>
      <t xml:space="preserve">6.5%</t>
    </r>
    <r>
      <rPr>
        <sz val="11"/>
        <rFont val="Linux Libertine G"/>
        <family val="2"/>
      </rPr>
      <t xml:space="preserve">、债券 </t>
    </r>
    <r>
      <rPr>
        <sz val="11"/>
        <rFont val="Linux Libertine G"/>
        <family val="2"/>
        <charset val="1"/>
      </rPr>
      <t xml:space="preserve">4.5%</t>
    </r>
  </si>
  <si>
    <r>
      <rPr>
        <sz val="11"/>
        <rFont val="Linux Libertine G"/>
        <family val="2"/>
      </rPr>
      <t xml:space="preserve">照样买满 </t>
    </r>
    <r>
      <rPr>
        <sz val="11"/>
        <rFont val="Linux Libertine G"/>
        <family val="2"/>
        <charset val="1"/>
      </rPr>
      <t xml:space="preserve">$10B CD</t>
    </r>
  </si>
  <si>
    <t xml:space="preserve">分红和回购</t>
  </si>
  <si>
    <r>
      <rPr>
        <sz val="11"/>
        <rFont val="Linux Libertine G"/>
        <family val="2"/>
      </rPr>
      <t xml:space="preserve">练习轮都没测过，分红一直是默认的 </t>
    </r>
    <r>
      <rPr>
        <sz val="11"/>
        <rFont val="Linux Libertine G"/>
        <family val="2"/>
        <charset val="1"/>
      </rPr>
      <t xml:space="preserve">$100M</t>
    </r>
  </si>
  <si>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七家都没有回购，分红都是 </t>
    </r>
    <r>
      <rPr>
        <sz val="11"/>
        <rFont val="Linux Libertine G"/>
        <family val="2"/>
        <charset val="1"/>
      </rPr>
      <t xml:space="preserve">$0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B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G</t>
    </r>
    <r>
      <rPr>
        <sz val="11"/>
        <rFont val="Linux Libertine G"/>
        <family val="2"/>
      </rPr>
      <t xml:space="preserve">）或 </t>
    </r>
    <r>
      <rPr>
        <sz val="11"/>
        <rFont val="Linux Libertine G"/>
        <family val="2"/>
        <charset val="1"/>
      </rPr>
      <t xml:space="preserve">$100M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$6,000M </t>
    </r>
    <r>
      <rPr>
        <sz val="11"/>
        <rFont val="Linux Libertine G"/>
        <family val="2"/>
      </rPr>
      <t xml:space="preserve">后股价 </t>
    </r>
    <r>
      <rPr>
        <sz val="11"/>
        <rFont val="Linux Libertine G"/>
        <family val="2"/>
        <charset val="1"/>
      </rPr>
      <t xml:space="preserve">+40%</t>
    </r>
    <r>
      <rPr>
        <sz val="11"/>
        <rFont val="Linux Libertine G"/>
        <family val="2"/>
      </rPr>
      <t xml:space="preserve">、市值 </t>
    </r>
    <r>
      <rPr>
        <sz val="11"/>
        <rFont val="Linux Libertine G"/>
        <family val="2"/>
        <charset val="1"/>
      </rPr>
      <t xml:space="preserve">+64%</t>
    </r>
  </si>
  <si>
    <r>
      <rPr>
        <sz val="11"/>
        <rFont val="Linux Libertine G"/>
        <family val="2"/>
      </rPr>
      <t xml:space="preserve">没有回购的数据，</t>
    </r>
    <r>
      <rPr>
        <sz val="11"/>
        <rFont val="Linux Libertine G"/>
        <family val="2"/>
        <charset val="1"/>
      </rPr>
      <t xml:space="preserve">D5 </t>
    </r>
    <r>
      <rPr>
        <sz val="11"/>
        <rFont val="Linux Libertine G"/>
        <family val="2"/>
      </rPr>
      <t xml:space="preserve">不回购；每股 </t>
    </r>
    <r>
      <rPr>
        <sz val="11"/>
        <rFont val="Linux Libertine G"/>
        <family val="2"/>
        <charset val="1"/>
      </rPr>
      <t xml:space="preserve">$2 </t>
    </r>
    <r>
      <rPr>
        <sz val="11"/>
        <rFont val="Linux Libertine G"/>
        <family val="2"/>
      </rPr>
      <t xml:space="preserve">分红是第一次实测</t>
    </r>
  </si>
  <si>
    <t xml:space="preserve">10/28</t>
  </si>
  <si>
    <t xml:space="preserve">测试次数上限</t>
  </si>
  <si>
    <t xml:space="preserve">练习轮没用满过</t>
  </si>
  <si>
    <r>
      <rPr>
        <sz val="11"/>
        <rFont val="Linux Libertine G"/>
        <family val="2"/>
        <charset val="1"/>
      </rPr>
      <t xml:space="preserve">Test Market </t>
    </r>
    <r>
      <rPr>
        <sz val="11"/>
        <rFont val="Linux Libertine G"/>
        <family val="2"/>
      </rPr>
      <t xml:space="preserve">和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每年各最多 </t>
    </r>
    <r>
      <rPr>
        <sz val="11"/>
        <rFont val="Linux Libertine G"/>
        <family val="2"/>
        <charset val="1"/>
      </rPr>
      <t xml:space="preserve">10 </t>
    </r>
    <r>
      <rPr>
        <sz val="11"/>
        <rFont val="Linux Libertine G"/>
        <family val="2"/>
      </rPr>
      <t xml:space="preserve">次；</t>
    </r>
    <r>
      <rPr>
        <sz val="11"/>
        <rFont val="Linux Libertine G"/>
        <family val="2"/>
        <charset val="1"/>
      </rPr>
      <t xml:space="preserve">D5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Test Market 10/27 </t>
    </r>
    <r>
      <rPr>
        <sz val="11"/>
        <rFont val="Linux Libertine G"/>
        <family val="2"/>
      </rPr>
      <t xml:space="preserve">就用完了，</t>
    </r>
    <r>
      <rPr>
        <sz val="11"/>
        <rFont val="Linux Libertine G"/>
        <family val="2"/>
        <charset val="1"/>
      </rPr>
      <t xml:space="preserve">10/28 </t>
    </r>
    <r>
      <rPr>
        <sz val="11"/>
        <rFont val="Linux Libertine G"/>
        <family val="2"/>
      </rPr>
      <t xml:space="preserve">加营销时没法再测</t>
    </r>
  </si>
  <si>
    <r>
      <rPr>
        <sz val="11"/>
        <rFont val="Linux Libertine G"/>
        <family val="2"/>
      </rPr>
      <t xml:space="preserve">改营销或价格前先看还剩几次；没测的预算在 </t>
    </r>
    <r>
      <rPr>
        <sz val="11"/>
        <rFont val="Linux Libertine G"/>
        <family val="2"/>
        <charset val="1"/>
      </rPr>
      <t xml:space="preserve">Rationale </t>
    </r>
    <r>
      <rPr>
        <sz val="11"/>
        <rFont val="Linux Libertine G"/>
        <family val="2"/>
      </rPr>
      <t xml:space="preserve">里写明</t>
    </r>
  </si>
  <si>
    <t xml:space="preserve">每一期出结果后要补的检查</t>
  </si>
  <si>
    <r>
      <rPr>
        <sz val="11"/>
        <rFont val="Linux Libertine G"/>
        <family val="2"/>
      </rPr>
      <t xml:space="preserve">我们每辆车的实际份额 </t>
    </r>
    <r>
      <rPr>
        <sz val="11"/>
        <rFont val="Linux Libertine G"/>
        <family val="2"/>
        <charset val="1"/>
      </rPr>
      <t xml:space="preserve">vs Test Market </t>
    </r>
    <r>
      <rPr>
        <sz val="11"/>
        <rFont val="Linux Libertine G"/>
        <family val="2"/>
      </rPr>
      <t xml:space="preserve">预测（练习轮误差 ≤ </t>
    </r>
    <r>
      <rPr>
        <sz val="11"/>
        <rFont val="Linux Libertine G"/>
        <family val="2"/>
        <charset val="1"/>
      </rPr>
      <t xml:space="preserve">0.4 </t>
    </r>
    <r>
      <rPr>
        <sz val="11"/>
        <rFont val="Linux Libertine G"/>
        <family val="2"/>
      </rPr>
      <t xml:space="preserve">个百分点；正式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实际高 </t>
    </r>
    <r>
      <rPr>
        <sz val="11"/>
        <rFont val="Linux Libertine G"/>
        <family val="2"/>
        <charset val="1"/>
      </rPr>
      <t xml:space="preserve">0.5–0.8 </t>
    </r>
    <r>
      <rPr>
        <sz val="11"/>
        <rFont val="Linux Libertine G"/>
        <family val="2"/>
      </rPr>
      <t xml:space="preserve">点）</t>
    </r>
  </si>
  <si>
    <r>
      <rPr>
        <sz val="11"/>
        <rFont val="Linux Libertine G"/>
        <family val="2"/>
      </rPr>
      <t xml:space="preserve">全行业实际销量 </t>
    </r>
    <r>
      <rPr>
        <sz val="11"/>
        <rFont val="Linux Libertine G"/>
        <family val="2"/>
        <charset val="1"/>
      </rPr>
      <t xml:space="preserve">vs </t>
    </r>
    <r>
      <rPr>
        <sz val="11"/>
        <rFont val="Linux Libertine G"/>
        <family val="2"/>
      </rPr>
      <t xml:space="preserve">预测（练习轮只有预测的 </t>
    </r>
    <r>
      <rPr>
        <sz val="11"/>
        <rFont val="Linux Libertine G"/>
        <family val="2"/>
        <charset val="1"/>
      </rPr>
      <t xml:space="preserve">76–85%</t>
    </r>
    <r>
      <rPr>
        <sz val="11"/>
        <rFont val="Linux Libertine G"/>
        <family val="2"/>
      </rPr>
      <t xml:space="preserve">；正式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只有 </t>
    </r>
    <r>
      <rPr>
        <sz val="11"/>
        <rFont val="Linux Libertine G"/>
        <family val="2"/>
        <charset val="1"/>
      </rPr>
      <t xml:space="preserve">85%</t>
    </r>
    <r>
      <rPr>
        <sz val="11"/>
        <rFont val="Linux Libertine G"/>
        <family val="2"/>
      </rPr>
      <t xml:space="preserve">）</t>
    </r>
  </si>
  <si>
    <r>
      <rPr>
        <sz val="11"/>
        <rFont val="Linux Libertine G"/>
        <family val="2"/>
      </rPr>
      <t xml:space="preserve">对手：谁提价、谁出了新车（尤其是 </t>
    </r>
    <r>
      <rPr>
        <sz val="11"/>
        <rFont val="Linux Libertine G"/>
        <family val="2"/>
        <charset val="1"/>
      </rPr>
      <t xml:space="preserve">Utility / 5U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Minivan / 4M</t>
    </r>
    <r>
      <rPr>
        <sz val="11"/>
        <rFont val="Linux Libertine G"/>
        <family val="2"/>
      </rPr>
      <t xml:space="preserve">）、谁扩产、谁增发</t>
    </r>
  </si>
  <si>
    <r>
      <rPr>
        <sz val="11"/>
        <rFont val="Linux Libertine G"/>
        <family val="2"/>
      </rPr>
      <t xml:space="preserve">系统有没有出 </t>
    </r>
    <r>
      <rPr>
        <sz val="11"/>
        <rFont val="Linux Libertine G"/>
        <family val="2"/>
        <charset val="1"/>
      </rPr>
      <t xml:space="preserve">Special Decisions</t>
    </r>
    <r>
      <rPr>
        <sz val="11"/>
        <rFont val="Linux Libertine G"/>
        <family val="2"/>
      </rPr>
      <t xml:space="preserve">、规则或日程有没有变</t>
    </r>
  </si>
  <si>
    <r>
      <rPr>
        <sz val="11"/>
        <rFont val="Linux Libertine G"/>
        <family val="2"/>
        <charset val="1"/>
      </rPr>
      <t xml:space="preserve">Pro-Forma </t>
    </r>
    <r>
      <rPr>
        <sz val="11"/>
        <rFont val="Linux Libertine G"/>
        <family val="2"/>
      </rPr>
      <t xml:space="preserve">的净利 </t>
    </r>
    <r>
      <rPr>
        <sz val="11"/>
        <rFont val="Linux Libertine G"/>
        <family val="2"/>
        <charset val="1"/>
      </rPr>
      <t xml:space="preserve">vs </t>
    </r>
    <r>
      <rPr>
        <sz val="11"/>
        <rFont val="Linux Libertine G"/>
        <family val="2"/>
      </rPr>
      <t xml:space="preserve">实际净利（练习轮每年高估约 </t>
    </r>
    <r>
      <rPr>
        <sz val="11"/>
        <rFont val="Linux Libertine G"/>
        <family val="2"/>
        <charset val="1"/>
      </rPr>
      <t xml:space="preserve">$700M</t>
    </r>
    <r>
      <rPr>
        <sz val="11"/>
        <rFont val="Linux Libertine G"/>
        <family val="2"/>
      </rPr>
      <t xml:space="preserve">；正式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低估了 </t>
    </r>
    <r>
      <rPr>
        <sz val="11"/>
        <rFont val="Linux Libertine G"/>
        <family val="2"/>
        <charset val="1"/>
      </rPr>
      <t xml:space="preserve">$81M</t>
    </r>
    <r>
      <rPr>
        <sz val="11"/>
        <rFont val="Linux Libertine G"/>
        <family val="2"/>
      </rPr>
      <t xml:space="preserve">）</t>
    </r>
  </si>
  <si>
    <t xml:space="preserve">这份表的更新记录</t>
  </si>
  <si>
    <r>
      <rPr>
        <i val="true"/>
        <sz val="11"/>
        <color rgb="FF595959"/>
        <rFont val="Linux Libertine G"/>
        <family val="2"/>
      </rPr>
      <t xml:space="preserve">文件名 </t>
    </r>
    <r>
      <rPr>
        <i val="true"/>
        <sz val="11"/>
        <color rgb="FF595959"/>
        <rFont val="Linux Libertine G"/>
        <family val="2"/>
        <charset val="1"/>
      </rPr>
      <t xml:space="preserve">10/11 </t>
    </r>
    <r>
      <rPr>
        <i val="true"/>
        <sz val="11"/>
        <color rgb="FF595959"/>
        <rFont val="Linux Libertine G"/>
        <family val="2"/>
      </rPr>
      <t xml:space="preserve">起改成“</t>
    </r>
    <r>
      <rPr>
        <i val="true"/>
        <sz val="11"/>
        <color rgb="FF595959"/>
        <rFont val="Linux Libertine G"/>
        <family val="2"/>
        <charset val="1"/>
      </rPr>
      <t xml:space="preserve">StratSim_</t>
    </r>
    <r>
      <rPr>
        <i val="true"/>
        <sz val="11"/>
        <color rgb="FF595959"/>
        <rFont val="Linux Libertine G"/>
        <family val="2"/>
      </rPr>
      <t xml:space="preserve">练习与正式比赛对照表</t>
    </r>
    <r>
      <rPr>
        <i val="true"/>
        <sz val="11"/>
        <color rgb="FF595959"/>
        <rFont val="Linux Libertine G"/>
        <family val="2"/>
        <charset val="1"/>
      </rPr>
      <t xml:space="preserve">.xlsx”</t>
    </r>
    <r>
      <rPr>
        <i val="true"/>
        <sz val="11"/>
        <color rgb="FF595959"/>
        <rFont val="Linux Libertine G"/>
        <family val="2"/>
      </rPr>
      <t xml:space="preserve">（原来叫“</t>
    </r>
    <r>
      <rPr>
        <i val="true"/>
        <sz val="11"/>
        <color rgb="FF595959"/>
        <rFont val="Linux Libertine G"/>
        <family val="2"/>
        <charset val="1"/>
      </rPr>
      <t xml:space="preserve">StratSim_</t>
    </r>
    <r>
      <rPr>
        <i val="true"/>
        <sz val="11"/>
        <color rgb="FF595959"/>
        <rFont val="Linux Libertine G"/>
        <family val="2"/>
      </rPr>
      <t xml:space="preserve">前三年对照表</t>
    </r>
    <r>
      <rPr>
        <i val="true"/>
        <sz val="11"/>
        <color rgb="FF595959"/>
        <rFont val="Linux Libertine G"/>
        <family val="2"/>
        <charset val="1"/>
      </rPr>
      <t xml:space="preserve">.xlsx”</t>
    </r>
    <r>
      <rPr>
        <i val="true"/>
        <sz val="11"/>
        <color rgb="FF595959"/>
        <rFont val="Linux Libertine G"/>
        <family val="2"/>
      </rPr>
      <t xml:space="preserve">）。每次改这份表都在最下面加一行。</t>
    </r>
  </si>
  <si>
    <t xml:space="preserve">改了什么</t>
  </si>
  <si>
    <t xml:space="preserve">涉及的页</t>
  </si>
  <si>
    <r>
      <rPr>
        <sz val="11"/>
        <rFont val="Linux Libertine G"/>
        <family val="2"/>
        <charset val="1"/>
      </rPr>
      <t xml:space="preserve">10/6 </t>
    </r>
    <r>
      <rPr>
        <sz val="11"/>
        <rFont val="Linux Libertine G"/>
        <family val="2"/>
      </rPr>
      <t xml:space="preserve">及以前</t>
    </r>
  </si>
  <si>
    <r>
      <rPr>
        <sz val="11"/>
        <rFont val="Linux Libertine G"/>
        <family val="2"/>
      </rPr>
      <t xml:space="preserve">建表并记录练习轮 </t>
    </r>
    <r>
      <rPr>
        <sz val="11"/>
        <rFont val="Linux Libertine G"/>
        <family val="2"/>
        <charset val="1"/>
      </rPr>
      <t xml:space="preserve">Y1–Y4 </t>
    </r>
    <r>
      <rPr>
        <sz val="11"/>
        <rFont val="Linux Libertine G"/>
        <family val="2"/>
      </rPr>
      <t xml:space="preserve">的决策和结果、结论总表、操作流程、</t>
    </r>
    <r>
      <rPr>
        <sz val="11"/>
        <rFont val="Linux Libertine G"/>
        <family val="2"/>
        <charset val="1"/>
      </rPr>
      <t xml:space="preserve">Skill </t>
    </r>
    <r>
      <rPr>
        <sz val="11"/>
        <rFont val="Linux Libertine G"/>
        <family val="2"/>
      </rPr>
      <t xml:space="preserve">和测试工具、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补充测试、正式比赛打法（当时的文件名是“前三年对照表”）</t>
    </r>
  </si>
  <si>
    <r>
      <rPr>
        <sz val="11"/>
        <rFont val="Linux Libertine G"/>
        <family val="2"/>
      </rPr>
      <t xml:space="preserve">前 </t>
    </r>
    <r>
      <rPr>
        <sz val="11"/>
        <rFont val="Linux Libertine G"/>
        <family val="2"/>
        <charset val="1"/>
      </rPr>
      <t xml:space="preserve">7 </t>
    </r>
    <r>
      <rPr>
        <sz val="11"/>
        <rFont val="Linux Libertine G"/>
        <family val="2"/>
      </rPr>
      <t xml:space="preserve">页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</si>
  <si>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Decision 1 </t>
    </r>
    <r>
      <rPr>
        <sz val="11"/>
        <rFont val="Linux Libertine G"/>
        <family val="2"/>
      </rPr>
      <t xml:space="preserve">保存后补记录：正式比赛打法加 </t>
    </r>
    <r>
      <rPr>
        <sz val="11"/>
        <rFont val="Linux Libertine G"/>
        <family val="2"/>
        <charset val="1"/>
      </rPr>
      <t xml:space="preserve">D </t>
    </r>
    <r>
      <rPr>
        <sz val="11"/>
        <rFont val="Linux Libertine G"/>
        <family val="2"/>
      </rPr>
      <t xml:space="preserve">列（实际怎么做的）；每年做了什么加 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）；每年的结果加 </t>
    </r>
    <r>
      <rPr>
        <sz val="11"/>
        <rFont val="Linux Libertine G"/>
        <family val="2"/>
        <charset val="1"/>
      </rPr>
      <t xml:space="preserve">H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）；结论总表加第 </t>
    </r>
    <r>
      <rPr>
        <sz val="11"/>
        <rFont val="Linux Libertine G"/>
        <family val="2"/>
        <charset val="1"/>
      </rPr>
      <t xml:space="preserve">49–55 </t>
    </r>
    <r>
      <rPr>
        <sz val="11"/>
        <rFont val="Linux Libertine G"/>
        <family val="2"/>
      </rPr>
      <t xml:space="preserve">行；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和测试工具补了正式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的发现；操作流程第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步加“每年只能新建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个中心”</t>
    </r>
  </si>
  <si>
    <r>
      <rPr>
        <sz val="11"/>
        <rFont val="Linux Libertine G"/>
        <family val="2"/>
      </rPr>
      <t xml:space="preserve">正式比赛打法、每年做了什么、每年的结果、结论总表、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和测试工具、操作流程</t>
    </r>
  </si>
  <si>
    <r>
      <rPr>
        <sz val="11"/>
        <rFont val="Linux Libertine G"/>
        <family val="2"/>
      </rPr>
      <t xml:space="preserve">新增“正式比赛变数记录”页（</t>
    </r>
    <r>
      <rPr>
        <sz val="11"/>
        <rFont val="Linux Libertine G"/>
        <family val="2"/>
        <charset val="1"/>
      </rPr>
      <t xml:space="preserve">12 </t>
    </r>
    <r>
      <rPr>
        <sz val="11"/>
        <rFont val="Linux Libertine G"/>
        <family val="2"/>
      </rPr>
      <t xml:space="preserve">条）；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和测试工具加“每一期有没有跑 </t>
    </r>
    <r>
      <rPr>
        <sz val="11"/>
        <rFont val="Linux Libertine G"/>
        <family val="2"/>
        <charset val="1"/>
      </rPr>
      <t xml:space="preserve">skill”</t>
    </r>
    <r>
      <rPr>
        <sz val="11"/>
        <rFont val="Linux Libertine G"/>
        <family val="2"/>
      </rPr>
      <t xml:space="preserve">表和“正式 </t>
    </r>
    <r>
      <rPr>
        <sz val="11"/>
        <rFont val="Linux Libertine G"/>
        <family val="2"/>
        <charset val="1"/>
      </rPr>
      <t xml:space="preserve">Y1 pricing </t>
    </r>
    <r>
      <rPr>
        <sz val="11"/>
        <rFont val="Linux Libertine G"/>
        <family val="2"/>
      </rPr>
      <t xml:space="preserve">复查”表（带公式）；操作流程第 </t>
    </r>
    <r>
      <rPr>
        <sz val="11"/>
        <rFont val="Linux Libertine G"/>
        <family val="2"/>
        <charset val="1"/>
      </rPr>
      <t xml:space="preserve">14 </t>
    </r>
    <r>
      <rPr>
        <sz val="11"/>
        <rFont val="Linux Libertine G"/>
        <family val="2"/>
      </rPr>
      <t xml:space="preserve">步改成要记 </t>
    </r>
    <r>
      <rPr>
        <sz val="11"/>
        <rFont val="Linux Libertine G"/>
        <family val="2"/>
        <charset val="1"/>
      </rPr>
      <t xml:space="preserve">skill </t>
    </r>
    <r>
      <rPr>
        <sz val="11"/>
        <rFont val="Linux Libertine G"/>
        <family val="2"/>
      </rPr>
      <t xml:space="preserve">复查和变数</t>
    </r>
  </si>
  <si>
    <r>
      <rPr>
        <sz val="11"/>
        <rFont val="Linux Libertine G"/>
        <family val="2"/>
      </rPr>
      <t xml:space="preserve">正式比赛变数记录、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和测试工具、操作流程</t>
    </r>
  </si>
  <si>
    <r>
      <rPr>
        <sz val="11"/>
        <rFont val="Linux Libertine G"/>
        <family val="2"/>
      </rPr>
      <t xml:space="preserve">文件改名：</t>
    </r>
    <r>
      <rPr>
        <sz val="11"/>
        <rFont val="Linux Libertine G"/>
        <family val="2"/>
        <charset val="1"/>
      </rPr>
      <t xml:space="preserve">StratSim_</t>
    </r>
    <r>
      <rPr>
        <sz val="11"/>
        <rFont val="Linux Libertine G"/>
        <family val="2"/>
      </rPr>
      <t xml:space="preserve">前三年对照表</t>
    </r>
    <r>
      <rPr>
        <sz val="11"/>
        <rFont val="Linux Libertine G"/>
        <family val="2"/>
        <charset val="1"/>
      </rPr>
      <t xml:space="preserve">.xlsx → StratSim_</t>
    </r>
    <r>
      <rPr>
        <sz val="11"/>
        <rFont val="Linux Libertine G"/>
        <family val="2"/>
      </rPr>
      <t xml:space="preserve">练习与正式比赛对照表</t>
    </r>
    <r>
      <rPr>
        <sz val="11"/>
        <rFont val="Linux Libertine G"/>
        <family val="2"/>
        <charset val="1"/>
      </rPr>
      <t xml:space="preserve">.xlsx</t>
    </r>
    <r>
      <rPr>
        <sz val="11"/>
        <rFont val="Linux Libertine G"/>
        <family val="2"/>
      </rPr>
      <t xml:space="preserve">（内容早就不止前三年）；新增这一页“更新记录”；“每年做了什么”的标题改成“练习 </t>
    </r>
    <r>
      <rPr>
        <sz val="11"/>
        <rFont val="Linux Libertine G"/>
        <family val="2"/>
        <charset val="1"/>
      </rPr>
      <t xml:space="preserve">Y1–Y4 + </t>
    </r>
    <r>
      <rPr>
        <sz val="11"/>
        <rFont val="Linux Libertine G"/>
        <family val="2"/>
      </rPr>
      <t xml:space="preserve">正式比赛”</t>
    </r>
  </si>
  <si>
    <t xml:space="preserve">全部</t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</si>
  <si>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Year 1 </t>
    </r>
    <r>
      <rPr>
        <sz val="11"/>
        <rFont val="Linux Libertine G"/>
        <family val="2"/>
      </rPr>
      <t xml:space="preserve">结果出来后补记录：新增“正式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复盘”页（预测 </t>
    </r>
    <r>
      <rPr>
        <sz val="11"/>
        <rFont val="Linux Libertine G"/>
        <family val="2"/>
        <charset val="1"/>
      </rPr>
      <t xml:space="preserve">vs </t>
    </r>
    <r>
      <rPr>
        <sz val="11"/>
        <rFont val="Linux Libertine G"/>
        <family val="2"/>
      </rPr>
      <t xml:space="preserve">实际、每个数据涨跌的原因、七家对比、为什么 </t>
    </r>
    <r>
      <rPr>
        <sz val="11"/>
        <rFont val="Linux Libertine G"/>
        <family val="2"/>
        <charset val="1"/>
      </rPr>
      <t xml:space="preserve">G </t>
    </r>
    <r>
      <rPr>
        <sz val="11"/>
        <rFont val="Linux Libertine G"/>
        <family val="2"/>
      </rPr>
      <t xml:space="preserve">第一、问题和教训、年度财务目标）；“每年的结果”</t>
    </r>
    <r>
      <rPr>
        <sz val="11"/>
        <rFont val="Linux Libertine G"/>
        <family val="2"/>
        <charset val="1"/>
      </rPr>
      <t xml:space="preserve">H </t>
    </r>
    <r>
      <rPr>
        <sz val="11"/>
        <rFont val="Linux Libertine G"/>
        <family val="2"/>
      </rPr>
      <t xml:space="preserve">列改成正式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实际值，新增 </t>
    </r>
    <r>
      <rPr>
        <sz val="11"/>
        <rFont val="Linux Libertine G"/>
        <family val="2"/>
        <charset val="1"/>
      </rPr>
      <t xml:space="preserve">I </t>
    </r>
    <r>
      <rPr>
        <sz val="11"/>
        <rFont val="Linux Libertine G"/>
        <family val="2"/>
      </rPr>
      <t xml:space="preserve">列放 </t>
    </r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；“正式比赛变数记录”填上结果并新增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条；“结论总表”更新第 </t>
    </r>
    <r>
      <rPr>
        <sz val="11"/>
        <rFont val="Linux Libertine G"/>
        <family val="2"/>
        <charset val="1"/>
      </rPr>
      <t xml:space="preserve">52–53 </t>
    </r>
    <r>
      <rPr>
        <sz val="11"/>
        <rFont val="Linux Libertine G"/>
        <family val="2"/>
      </rPr>
      <t xml:space="preserve">行，新增第 </t>
    </r>
    <r>
      <rPr>
        <sz val="11"/>
        <rFont val="Linux Libertine G"/>
        <family val="2"/>
        <charset val="1"/>
      </rPr>
      <t xml:space="preserve">56–59 </t>
    </r>
    <r>
      <rPr>
        <sz val="11"/>
        <rFont val="Linux Libertine G"/>
        <family val="2"/>
      </rPr>
      <t xml:space="preserve">行</t>
    </r>
  </si>
  <si>
    <r>
      <rPr>
        <sz val="11"/>
        <rFont val="Linux Libertine G"/>
        <family val="2"/>
      </rPr>
      <t xml:space="preserve">正式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复盘、每年的结果、正式比赛变数记录、结论总表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</si>
  <si>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Decision 2 </t>
    </r>
    <r>
      <rPr>
        <sz val="11"/>
        <rFont val="Linux Libertine G"/>
        <family val="2"/>
      </rPr>
      <t xml:space="preserve">保存后补记录：“每年做了什么”加 </t>
    </r>
    <r>
      <rPr>
        <sz val="11"/>
        <rFont val="Linux Libertine G"/>
        <family val="2"/>
        <charset val="1"/>
      </rPr>
      <t xml:space="preserve">H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）；“每年的结果”加 </t>
    </r>
    <r>
      <rPr>
        <sz val="11"/>
        <rFont val="Linux Libertine G"/>
        <family val="2"/>
        <charset val="1"/>
      </rPr>
      <t xml:space="preserve">J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Y2 Pro-Forma</t>
    </r>
    <r>
      <rPr>
        <sz val="11"/>
        <rFont val="Linux Libertine G"/>
        <family val="2"/>
      </rPr>
      <t xml:space="preserve">）；“正式比赛变数记录”新增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条（扩产上限 </t>
    </r>
    <r>
      <rPr>
        <sz val="11"/>
        <rFont val="Linux Libertine G"/>
        <family val="2"/>
        <charset val="1"/>
      </rPr>
      <t xml:space="preserve">50%</t>
    </r>
    <r>
      <rPr>
        <sz val="11"/>
        <rFont val="Linux Libertine G"/>
        <family val="2"/>
      </rPr>
      <t xml:space="preserve">、经销商上限、利率、</t>
    </r>
    <r>
      <rPr>
        <sz val="11"/>
        <rFont val="Linux Libertine G"/>
        <family val="2"/>
        <charset val="1"/>
      </rPr>
      <t xml:space="preserve">retooling</t>
    </r>
    <r>
      <rPr>
        <sz val="11"/>
        <rFont val="Linux Libertine G"/>
        <family val="2"/>
      </rPr>
      <t xml:space="preserve">）；“结论总表”新增第 </t>
    </r>
    <r>
      <rPr>
        <sz val="11"/>
        <rFont val="Linux Libertine G"/>
        <family val="2"/>
        <charset val="1"/>
      </rPr>
      <t xml:space="preserve">60–65 </t>
    </r>
    <r>
      <rPr>
        <sz val="11"/>
        <rFont val="Linux Libertine G"/>
        <family val="2"/>
      </rPr>
      <t xml:space="preserve">行；“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和测试工具”加正式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的使用记录和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定价复查表</t>
    </r>
  </si>
  <si>
    <r>
      <rPr>
        <sz val="11"/>
        <rFont val="Linux Libertine G"/>
        <family val="2"/>
      </rPr>
      <t xml:space="preserve">每年做了什么、每年的结果、正式比赛变数记录、结论总表、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</t>
    </r>
  </si>
  <si>
    <r>
      <rPr>
        <sz val="11"/>
        <rFont val="Linux Libertine G"/>
        <family val="2"/>
      </rPr>
      <t xml:space="preserve">提交前复查 </t>
    </r>
    <r>
      <rPr>
        <sz val="11"/>
        <rFont val="Linux Libertine G"/>
        <family val="2"/>
        <charset val="1"/>
      </rPr>
      <t xml:space="preserve">Y1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：发现 </t>
    </r>
    <r>
      <rPr>
        <sz val="11"/>
        <rFont val="Linux Libertine G"/>
        <family val="2"/>
        <charset val="1"/>
      </rPr>
      <t xml:space="preserve">Cameo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被错误关掉（照搬 </t>
    </r>
    <r>
      <rPr>
        <sz val="11"/>
        <rFont val="Linux Libertine G"/>
        <family val="2"/>
        <charset val="1"/>
      </rPr>
      <t xml:space="preserve">Y1 </t>
    </r>
    <r>
      <rPr>
        <sz val="11"/>
        <rFont val="Linux Libertine G"/>
        <family val="2"/>
      </rPr>
      <t xml:space="preserve">教训），已在系统里改回并重写 </t>
    </r>
    <r>
      <rPr>
        <sz val="11"/>
        <rFont val="Linux Libertine G"/>
        <family val="2"/>
        <charset val="1"/>
      </rPr>
      <t xml:space="preserve">Rationale</t>
    </r>
    <r>
      <rPr>
        <sz val="11"/>
        <rFont val="Linux Libertine G"/>
        <family val="2"/>
      </rPr>
      <t xml:space="preserve">；“结论总表”第 </t>
    </r>
    <r>
      <rPr>
        <sz val="11"/>
        <rFont val="Linux Libertine G"/>
        <family val="2"/>
        <charset val="1"/>
      </rPr>
      <t xml:space="preserve">64 </t>
    </r>
    <r>
      <rPr>
        <sz val="11"/>
        <rFont val="Linux Libertine G"/>
        <family val="2"/>
      </rPr>
      <t xml:space="preserve">行改成 ❌ 教训；“每年的结果”</t>
    </r>
    <r>
      <rPr>
        <sz val="11"/>
        <rFont val="Linux Libertine G"/>
        <family val="2"/>
        <charset val="1"/>
      </rPr>
      <t xml:space="preserve">J </t>
    </r>
    <r>
      <rPr>
        <sz val="11"/>
        <rFont val="Linux Libertine G"/>
        <family val="2"/>
      </rPr>
      <t xml:space="preserve">列更新为最终 </t>
    </r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（净利 </t>
    </r>
    <r>
      <rPr>
        <sz val="11"/>
        <rFont val="Linux Libertine G"/>
        <family val="2"/>
        <charset val="1"/>
      </rPr>
      <t xml:space="preserve">$2,663M</t>
    </r>
    <r>
      <rPr>
        <sz val="11"/>
        <rFont val="Linux Libertine G"/>
        <family val="2"/>
      </rPr>
      <t xml:space="preserve">、现金 </t>
    </r>
    <r>
      <rPr>
        <sz val="11"/>
        <rFont val="Linux Libertine G"/>
        <family val="2"/>
        <charset val="1"/>
      </rPr>
      <t xml:space="preserve">$1,024M</t>
    </r>
    <r>
      <rPr>
        <sz val="11"/>
        <rFont val="Linux Libertine G"/>
        <family val="2"/>
      </rPr>
      <t xml:space="preserve">）；“正式比赛变数记录”的 </t>
    </r>
    <r>
      <rPr>
        <sz val="11"/>
        <rFont val="Linux Libertine G"/>
        <family val="2"/>
        <charset val="1"/>
      </rPr>
      <t xml:space="preserve">Flex </t>
    </r>
    <r>
      <rPr>
        <sz val="11"/>
        <rFont val="Linux Libertine G"/>
        <family val="2"/>
      </rPr>
      <t xml:space="preserve">行补上适用条件</t>
    </r>
  </si>
  <si>
    <t xml:space="preserve">结论总表、每年的结果、正式比赛变数记录</t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</si>
  <si>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Year 2 </t>
    </r>
    <r>
      <rPr>
        <sz val="11"/>
        <rFont val="Linux Libertine G"/>
        <family val="2"/>
      </rPr>
      <t xml:space="preserve">结果出来后补记录：新增“正式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复盘”页；“每年的结果”加 </t>
    </r>
    <r>
      <rPr>
        <sz val="11"/>
        <rFont val="Linux Libertine G"/>
        <family val="2"/>
        <charset val="1"/>
      </rPr>
      <t xml:space="preserve">K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实际）；“正式比赛变数记录”新增 </t>
    </r>
    <r>
      <rPr>
        <sz val="11"/>
        <rFont val="Linux Libertine G"/>
        <family val="2"/>
        <charset val="1"/>
      </rPr>
      <t xml:space="preserve">6 </t>
    </r>
    <r>
      <rPr>
        <sz val="11"/>
        <rFont val="Linux Libertine G"/>
        <family val="2"/>
      </rPr>
      <t xml:space="preserve">条；“结论总表”把 </t>
    </r>
    <r>
      <rPr>
        <sz val="11"/>
        <rFont val="Linux Libertine G"/>
        <family val="2"/>
        <charset val="1"/>
      </rPr>
      <t xml:space="preserve">Y2 </t>
    </r>
    <r>
      <rPr>
        <sz val="11"/>
        <rFont val="Linux Libertine G"/>
        <family val="2"/>
      </rPr>
      <t xml:space="preserve">验证过的 ⏳ 改成 ✅，新增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条</t>
    </r>
  </si>
  <si>
    <r>
      <rPr>
        <sz val="11"/>
        <rFont val="Linux Libertine G"/>
        <family val="2"/>
      </rPr>
      <t xml:space="preserve">正式</t>
    </r>
    <r>
      <rPr>
        <sz val="11"/>
        <rFont val="Linux Libertine G"/>
        <family val="2"/>
        <charset val="1"/>
      </rPr>
      <t xml:space="preserve">Y2</t>
    </r>
    <r>
      <rPr>
        <sz val="11"/>
        <rFont val="Linux Libertine G"/>
        <family val="2"/>
      </rPr>
      <t xml:space="preserve">复盘、每年的结果、正式比赛变数记录、结论总表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</si>
  <si>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Decision 3 </t>
    </r>
    <r>
      <rPr>
        <sz val="11"/>
        <rFont val="Linux Libertine G"/>
        <family val="2"/>
      </rPr>
      <t xml:space="preserve">保存后补记录：“每年做了什么”加 </t>
    </r>
    <r>
      <rPr>
        <sz val="11"/>
        <rFont val="Linux Libertine G"/>
        <family val="2"/>
        <charset val="1"/>
      </rPr>
      <t xml:space="preserve">I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）；“每年的结果”加 </t>
    </r>
    <r>
      <rPr>
        <sz val="11"/>
        <rFont val="Linux Libertine G"/>
        <family val="2"/>
        <charset val="1"/>
      </rPr>
      <t xml:space="preserve">L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Y3 Pro-Forma</t>
    </r>
    <r>
      <rPr>
        <sz val="11"/>
        <rFont val="Linux Libertine G"/>
        <family val="2"/>
      </rPr>
      <t xml:space="preserve">）；“正式比赛变数记录”新增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条；“结论总表”新增 </t>
    </r>
    <r>
      <rPr>
        <sz val="11"/>
        <rFont val="Linux Libertine G"/>
        <family val="2"/>
        <charset val="1"/>
      </rPr>
      <t xml:space="preserve">7 </t>
    </r>
    <r>
      <rPr>
        <sz val="11"/>
        <rFont val="Linux Libertine G"/>
        <family val="2"/>
      </rPr>
      <t xml:space="preserve">条；“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和测试工具”加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的最终组合测试表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</si>
  <si>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Year 3 </t>
    </r>
    <r>
      <rPr>
        <sz val="11"/>
        <rFont val="Linux Libertine G"/>
        <family val="2"/>
      </rPr>
      <t xml:space="preserve">结果出来后补记录：新增“正式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复盘”页（预测 </t>
    </r>
    <r>
      <rPr>
        <sz val="11"/>
        <rFont val="Linux Libertine G"/>
        <family val="2"/>
        <charset val="1"/>
      </rPr>
      <t xml:space="preserve">vs </t>
    </r>
    <r>
      <rPr>
        <sz val="11"/>
        <rFont val="Linux Libertine G"/>
        <family val="2"/>
      </rPr>
      <t xml:space="preserve">实际、</t>
    </r>
    <r>
      <rPr>
        <sz val="11"/>
        <rFont val="Linux Libertine G"/>
        <family val="2"/>
        <charset val="1"/>
      </rPr>
      <t xml:space="preserve">Y2 → Y3 </t>
    </r>
    <r>
      <rPr>
        <sz val="11"/>
        <rFont val="Linux Libertine G"/>
        <family val="2"/>
      </rPr>
      <t xml:space="preserve">每个数据涨跌的原因、七家对比和我们为什么第一、问题和教训、年度财务目标）；“每年的结果”加 </t>
    </r>
    <r>
      <rPr>
        <sz val="11"/>
        <rFont val="Linux Libertine G"/>
        <family val="2"/>
        <charset val="1"/>
      </rPr>
      <t xml:space="preserve">M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实际）；“结论总表”把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条 </t>
    </r>
    <r>
      <rPr>
        <sz val="11"/>
        <rFont val="Linux Libertine G"/>
        <family val="2"/>
        <charset val="1"/>
      </rPr>
      <t xml:space="preserve">Y3 </t>
    </r>
    <r>
      <rPr>
        <sz val="11"/>
        <rFont val="Linux Libertine G"/>
        <family val="2"/>
      </rPr>
      <t xml:space="preserve">的 ⏳ 改成 ✅，新增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条（❌ 新车首年排产偏多、✅ 老车提价后仍缺货）；“正式比赛变数记录”新增 </t>
    </r>
    <r>
      <rPr>
        <sz val="11"/>
        <rFont val="Linux Libertine G"/>
        <family val="2"/>
        <charset val="1"/>
      </rPr>
      <t xml:space="preserve">6 </t>
    </r>
    <r>
      <rPr>
        <sz val="11"/>
        <rFont val="Linux Libertine G"/>
        <family val="2"/>
      </rPr>
      <t xml:space="preserve">条。</t>
    </r>
  </si>
  <si>
    <r>
      <rPr>
        <sz val="11"/>
        <rFont val="Linux Libertine G"/>
        <family val="2"/>
      </rPr>
      <t xml:space="preserve">正式</t>
    </r>
    <r>
      <rPr>
        <sz val="11"/>
        <rFont val="Linux Libertine G"/>
        <family val="2"/>
        <charset val="1"/>
      </rPr>
      <t xml:space="preserve">Y3</t>
    </r>
    <r>
      <rPr>
        <sz val="11"/>
        <rFont val="Linux Libertine G"/>
        <family val="2"/>
      </rPr>
      <t xml:space="preserve">复盘、每年的结果、结论总表、正式比赛变数记录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</si>
  <si>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Decision 4 </t>
    </r>
    <r>
      <rPr>
        <sz val="11"/>
        <rFont val="Linux Libertine G"/>
        <family val="2"/>
      </rPr>
      <t xml:space="preserve">保存后补记录：“每年做了什么”加 </t>
    </r>
    <r>
      <rPr>
        <sz val="11"/>
        <rFont val="Linux Libertine G"/>
        <family val="2"/>
        <charset val="1"/>
      </rPr>
      <t xml:space="preserve">J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），并新增“中心 </t>
    </r>
    <r>
      <rPr>
        <sz val="11"/>
        <rFont val="Linux Libertine G"/>
        <family val="2"/>
        <charset val="1"/>
      </rPr>
      <t xml:space="preserve">5”</t>
    </r>
    <r>
      <rPr>
        <sz val="11"/>
        <rFont val="Linux Libertine G"/>
        <family val="2"/>
      </rPr>
      <t xml:space="preserve">和“</t>
    </r>
    <r>
      <rPr>
        <sz val="11"/>
        <rFont val="Linux Libertine G"/>
        <family val="2"/>
        <charset val="1"/>
      </rPr>
      <t xml:space="preserve">Cosmo”</t>
    </r>
    <r>
      <rPr>
        <sz val="11"/>
        <rFont val="Linux Libertine G"/>
        <family val="2"/>
      </rPr>
      <t xml:space="preserve">两行（同页公式已改到新行号）；“每年的结果”加 </t>
    </r>
    <r>
      <rPr>
        <sz val="11"/>
        <rFont val="Linux Libertine G"/>
        <family val="2"/>
        <charset val="1"/>
      </rPr>
      <t xml:space="preserve">N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Y4 Pro-Forma</t>
    </r>
    <r>
      <rPr>
        <sz val="11"/>
        <rFont val="Linux Libertine G"/>
        <family val="2"/>
      </rPr>
      <t xml:space="preserve">）；“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和测试工具”加正式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的测试和复查表；“结论总表”新增 </t>
    </r>
    <r>
      <rPr>
        <sz val="11"/>
        <rFont val="Linux Libertine G"/>
        <family val="2"/>
        <charset val="1"/>
      </rPr>
      <t xml:space="preserve">7 </t>
    </r>
    <r>
      <rPr>
        <sz val="11"/>
        <rFont val="Linux Libertine G"/>
        <family val="2"/>
      </rPr>
      <t xml:space="preserve">条 ⏳；“正式比赛变数记录”新增 </t>
    </r>
    <r>
      <rPr>
        <sz val="11"/>
        <rFont val="Linux Libertine G"/>
        <family val="2"/>
        <charset val="1"/>
      </rPr>
      <t xml:space="preserve">7 </t>
    </r>
    <r>
      <rPr>
        <sz val="11"/>
        <rFont val="Linux Libertine G"/>
        <family val="2"/>
      </rPr>
      <t xml:space="preserve">条。</t>
    </r>
  </si>
  <si>
    <r>
      <rPr>
        <sz val="11"/>
        <rFont val="Linux Libertine G"/>
        <family val="2"/>
      </rPr>
      <t xml:space="preserve">每年做了什么、每年的结果、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和测试工具、结论总表、正式比赛变数记录</t>
    </r>
  </si>
  <si>
    <r>
      <rPr>
        <sz val="11"/>
        <rFont val="Linux Libertine G"/>
        <family val="2"/>
      </rPr>
      <t xml:space="preserve">按文档教训复查 </t>
    </r>
    <r>
      <rPr>
        <sz val="11"/>
        <rFont val="Linux Libertine G"/>
        <family val="2"/>
        <charset val="1"/>
      </rPr>
      <t xml:space="preserve">Decision 4 </t>
    </r>
    <r>
      <rPr>
        <sz val="11"/>
        <rFont val="Linux Libertine G"/>
        <family val="2"/>
      </rPr>
      <t xml:space="preserve">后修改：取消 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Cargo </t>
    </r>
    <r>
      <rPr>
        <sz val="11"/>
        <rFont val="Linux Libertine G"/>
        <family val="2"/>
      </rPr>
      <t xml:space="preserve">两款新车和 </t>
    </r>
    <r>
      <rPr>
        <sz val="11"/>
        <rFont val="Linux Libertine G"/>
        <family val="2"/>
        <charset val="1"/>
      </rPr>
      <t xml:space="preserve">Quality +1 </t>
    </r>
    <r>
      <rPr>
        <sz val="11"/>
        <rFont val="Linux Libertine G"/>
        <family val="2"/>
      </rPr>
      <t xml:space="preserve">技术，改做 </t>
    </r>
    <r>
      <rPr>
        <sz val="11"/>
        <rFont val="Linux Libertine G"/>
        <family val="2"/>
        <charset val="1"/>
      </rPr>
      <t xml:space="preserve">Cafav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降成本。“每年做了什么”</t>
    </r>
    <r>
      <rPr>
        <sz val="11"/>
        <rFont val="Linux Libertine G"/>
        <family val="2"/>
        <charset val="1"/>
      </rPr>
      <t xml:space="preserve">J </t>
    </r>
    <r>
      <rPr>
        <sz val="11"/>
        <rFont val="Linux Libertine G"/>
        <family val="2"/>
      </rPr>
      <t xml:space="preserve">列改中心 </t>
    </r>
    <r>
      <rPr>
        <sz val="11"/>
        <rFont val="Linux Libertine G"/>
        <family val="2"/>
        <charset val="1"/>
      </rPr>
      <t xml:space="preserve">1/3/5</t>
    </r>
    <r>
      <rPr>
        <sz val="11"/>
        <rFont val="Linux Libertine G"/>
        <family val="2"/>
      </rPr>
      <t xml:space="preserve">、技术、扩产、</t>
    </r>
    <r>
      <rPr>
        <sz val="11"/>
        <rFont val="Linux Libertine G"/>
        <family val="2"/>
        <charset val="1"/>
      </rPr>
      <t xml:space="preserve">Rationale</t>
    </r>
    <r>
      <rPr>
        <sz val="11"/>
        <rFont val="Linux Libertine G"/>
        <family val="2"/>
      </rPr>
      <t xml:space="preserve">；“每年的结果”</t>
    </r>
    <r>
      <rPr>
        <sz val="11"/>
        <rFont val="Linux Libertine G"/>
        <family val="2"/>
        <charset val="1"/>
      </rPr>
      <t xml:space="preserve">N </t>
    </r>
    <r>
      <rPr>
        <sz val="11"/>
        <rFont val="Linux Libertine G"/>
        <family val="2"/>
      </rPr>
      <t xml:space="preserve">列改成新 </t>
    </r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（净利 </t>
    </r>
    <r>
      <rPr>
        <sz val="11"/>
        <rFont val="Linux Libertine G"/>
        <family val="2"/>
        <charset val="1"/>
      </rPr>
      <t xml:space="preserve">$14,440M</t>
    </r>
    <r>
      <rPr>
        <sz val="11"/>
        <rFont val="Linux Libertine G"/>
        <family val="2"/>
      </rPr>
      <t xml:space="preserve">、现金 </t>
    </r>
    <r>
      <rPr>
        <sz val="11"/>
        <rFont val="Linux Libertine G"/>
        <family val="2"/>
        <charset val="1"/>
      </rPr>
      <t xml:space="preserve">$8,584M</t>
    </r>
    <r>
      <rPr>
        <sz val="11"/>
        <rFont val="Linux Libertine G"/>
        <family val="2"/>
      </rPr>
      <t xml:space="preserve">）；“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和测试工具”更新 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Cargo</t>
    </r>
    <r>
      <rPr>
        <sz val="11"/>
        <rFont val="Linux Libertine G"/>
        <family val="2"/>
      </rPr>
      <t xml:space="preserve">、三情景，新增降成本一行；“结论总表”</t>
    </r>
    <r>
      <rPr>
        <sz val="11"/>
        <rFont val="Linux Libertine G"/>
        <family val="2"/>
        <charset val="1"/>
      </rPr>
      <t xml:space="preserve">Comet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Cargo </t>
    </r>
    <r>
      <rPr>
        <sz val="11"/>
        <rFont val="Linux Libertine G"/>
        <family val="2"/>
      </rPr>
      <t xml:space="preserve">改成 ❌，降成本一行扩到三款车；“正式比赛变数记录”新增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条。</t>
    </r>
  </si>
  <si>
    <r>
      <rPr>
        <sz val="11"/>
        <rFont val="Linux Libertine G"/>
        <family val="2"/>
      </rPr>
      <t xml:space="preserve">看了老师的 </t>
    </r>
    <r>
      <rPr>
        <sz val="11"/>
        <rFont val="Linux Libertine G"/>
        <family val="2"/>
        <charset val="1"/>
      </rPr>
      <t xml:space="preserve">C2 </t>
    </r>
    <r>
      <rPr>
        <sz val="11"/>
        <rFont val="Linux Libertine G"/>
        <family val="2"/>
      </rPr>
      <t xml:space="preserve">视频后再改 </t>
    </r>
    <r>
      <rPr>
        <sz val="11"/>
        <rFont val="Linux Libertine G"/>
        <family val="2"/>
        <charset val="1"/>
      </rPr>
      <t xml:space="preserve">Decision 4</t>
    </r>
    <r>
      <rPr>
        <sz val="11"/>
        <rFont val="Linux Libertine G"/>
        <family val="2"/>
      </rPr>
      <t xml:space="preserve">：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排产 </t>
    </r>
    <r>
      <rPr>
        <sz val="11"/>
        <rFont val="Linux Libertine G"/>
        <family val="2"/>
        <charset val="1"/>
      </rPr>
      <t xml:space="preserve">1,050K → 1,150K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Crash 480K → 520K</t>
    </r>
    <r>
      <rPr>
        <sz val="11"/>
        <rFont val="Linux Libertine G"/>
        <family val="2"/>
      </rPr>
      <t xml:space="preserve">；最后一次 </t>
    </r>
    <r>
      <rPr>
        <sz val="11"/>
        <rFont val="Linux Libertine G"/>
        <family val="2"/>
        <charset val="1"/>
      </rPr>
      <t xml:space="preserve">Concept Test </t>
    </r>
    <r>
      <rPr>
        <sz val="11"/>
        <rFont val="Linux Libertine G"/>
        <family val="2"/>
      </rPr>
      <t xml:space="preserve">测 </t>
    </r>
    <r>
      <rPr>
        <sz val="11"/>
        <rFont val="Linux Libertine G"/>
        <family val="2"/>
        <charset val="1"/>
      </rPr>
      <t xml:space="preserve">Cosmo $40K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44.1%</t>
    </r>
    <r>
      <rPr>
        <sz val="11"/>
        <rFont val="Linux Libertine G"/>
        <family val="2"/>
      </rPr>
      <t xml:space="preserve">），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提到 </t>
    </r>
    <r>
      <rPr>
        <sz val="11"/>
        <rFont val="Linux Libertine G"/>
        <family val="2"/>
        <charset val="1"/>
      </rPr>
      <t xml:space="preserve">$40,000</t>
    </r>
    <r>
      <rPr>
        <sz val="11"/>
        <rFont val="Linux Libertine G"/>
        <family val="2"/>
      </rPr>
      <t xml:space="preserve">。“每年做了什么”</t>
    </r>
    <r>
      <rPr>
        <sz val="11"/>
        <rFont val="Linux Libertine G"/>
        <family val="2"/>
        <charset val="1"/>
      </rPr>
      <t xml:space="preserve">J </t>
    </r>
    <r>
      <rPr>
        <sz val="11"/>
        <rFont val="Linux Libertine G"/>
        <family val="2"/>
      </rPr>
      <t xml:space="preserve">列改报告数、</t>
    </r>
    <r>
      <rPr>
        <sz val="11"/>
        <rFont val="Linux Libertine G"/>
        <family val="2"/>
        <charset val="1"/>
      </rPr>
      <t xml:space="preserve">Cosmo </t>
    </r>
    <r>
      <rPr>
        <sz val="11"/>
        <rFont val="Linux Libertine G"/>
        <family val="2"/>
      </rPr>
      <t xml:space="preserve">价格、排产合计；“每年的结果”</t>
    </r>
    <r>
      <rPr>
        <sz val="11"/>
        <rFont val="Linux Libertine G"/>
        <family val="2"/>
        <charset val="1"/>
      </rPr>
      <t xml:space="preserve">N </t>
    </r>
    <r>
      <rPr>
        <sz val="11"/>
        <rFont val="Linux Libertine G"/>
        <family val="2"/>
      </rPr>
      <t xml:space="preserve">列改成最终 </t>
    </r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（净利 </t>
    </r>
    <r>
      <rPr>
        <sz val="11"/>
        <rFont val="Linux Libertine G"/>
        <family val="2"/>
        <charset val="1"/>
      </rPr>
      <t xml:space="preserve">$15,502M</t>
    </r>
    <r>
      <rPr>
        <sz val="11"/>
        <rFont val="Linux Libertine G"/>
        <family val="2"/>
      </rPr>
      <t xml:space="preserve">、营收 </t>
    </r>
    <r>
      <rPr>
        <sz val="11"/>
        <rFont val="Linux Libertine G"/>
        <family val="2"/>
        <charset val="1"/>
      </rPr>
      <t xml:space="preserve">$78,008M</t>
    </r>
    <r>
      <rPr>
        <sz val="11"/>
        <rFont val="Linux Libertine G"/>
        <family val="2"/>
      </rPr>
      <t xml:space="preserve">、现金 </t>
    </r>
    <r>
      <rPr>
        <sz val="11"/>
        <rFont val="Linux Libertine G"/>
        <family val="2"/>
        <charset val="1"/>
      </rPr>
      <t xml:space="preserve">$9,416M</t>
    </r>
    <r>
      <rPr>
        <sz val="11"/>
        <rFont val="Linux Libertine G"/>
        <family val="2"/>
      </rPr>
      <t xml:space="preserve">）；“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和测试工具”改 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、三情景，新增排产一行；“结论总表”改 </t>
    </r>
    <r>
      <rPr>
        <sz val="11"/>
        <rFont val="Linux Libertine G"/>
        <family val="2"/>
        <charset val="1"/>
      </rPr>
      <t xml:space="preserve">Cosmo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Cafav </t>
    </r>
    <r>
      <rPr>
        <sz val="11"/>
        <rFont val="Linux Libertine G"/>
        <family val="2"/>
      </rPr>
      <t xml:space="preserve">两行；“正式比赛变数记录”新增 </t>
    </r>
    <r>
      <rPr>
        <sz val="11"/>
        <rFont val="Linux Libertine G"/>
        <family val="2"/>
        <charset val="1"/>
      </rPr>
      <t xml:space="preserve">4 </t>
    </r>
    <r>
      <rPr>
        <sz val="11"/>
        <rFont val="Linux Libertine G"/>
        <family val="2"/>
      </rPr>
      <t xml:space="preserve">条。</t>
    </r>
  </si>
  <si>
    <r>
      <rPr>
        <sz val="11"/>
        <rFont val="Linux Libertine G"/>
        <family val="2"/>
      </rPr>
      <t xml:space="preserve">用户决定做跑车：中心 </t>
    </r>
    <r>
      <rPr>
        <sz val="11"/>
        <rFont val="Linux Libertine G"/>
        <family val="2"/>
        <charset val="1"/>
      </rPr>
      <t xml:space="preserve">5 </t>
    </r>
    <r>
      <rPr>
        <sz val="11"/>
        <rFont val="Linux Libertine G"/>
        <family val="2"/>
      </rPr>
      <t xml:space="preserve">的 </t>
    </r>
    <r>
      <rPr>
        <sz val="11"/>
        <rFont val="Linux Libertine G"/>
        <family val="2"/>
        <charset val="1"/>
      </rPr>
      <t xml:space="preserve">Crash </t>
    </r>
    <r>
      <rPr>
        <sz val="11"/>
        <rFont val="Linux Libertine G"/>
        <family val="2"/>
      </rPr>
      <t xml:space="preserve">降成本换成新车 </t>
    </r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（</t>
    </r>
    <r>
      <rPr>
        <sz val="11"/>
        <rFont val="Linux Libertine G"/>
        <family val="2"/>
        <charset val="1"/>
      </rPr>
      <t xml:space="preserve">Sports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3S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40 / 205 / S7 / Q4</t>
    </r>
    <r>
      <rPr>
        <sz val="11"/>
        <rFont val="Linux Libertine G"/>
        <family val="2"/>
      </rPr>
      <t xml:space="preserve">，开发 </t>
    </r>
    <r>
      <rPr>
        <sz val="11"/>
        <rFont val="Linux Libertine G"/>
        <family val="2"/>
        <charset val="1"/>
      </rPr>
      <t xml:space="preserve">$1,318M</t>
    </r>
    <r>
      <rPr>
        <sz val="11"/>
        <rFont val="Linux Libertine G"/>
        <family val="2"/>
      </rPr>
      <t xml:space="preserve">，</t>
    </r>
    <r>
      <rPr>
        <sz val="11"/>
        <rFont val="Linux Libertine G"/>
        <family val="2"/>
        <charset val="1"/>
      </rPr>
      <t xml:space="preserve">Y6 </t>
    </r>
    <r>
      <rPr>
        <sz val="11"/>
        <rFont val="Linux Libertine G"/>
        <family val="2"/>
      </rPr>
      <t xml:space="preserve">上市）。“每年做了什么”</t>
    </r>
    <r>
      <rPr>
        <sz val="11"/>
        <rFont val="Linux Libertine G"/>
        <family val="2"/>
        <charset val="1"/>
      </rPr>
      <t xml:space="preserve">J13 </t>
    </r>
    <r>
      <rPr>
        <sz val="11"/>
        <rFont val="Linux Libertine G"/>
        <family val="2"/>
      </rPr>
      <t xml:space="preserve">改中心 </t>
    </r>
    <r>
      <rPr>
        <sz val="11"/>
        <rFont val="Linux Libertine G"/>
        <family val="2"/>
        <charset val="1"/>
      </rPr>
      <t xml:space="preserve">5</t>
    </r>
    <r>
      <rPr>
        <sz val="11"/>
        <rFont val="Linux Libertine G"/>
        <family val="2"/>
      </rPr>
      <t xml:space="preserve">；“每年的结果”</t>
    </r>
    <r>
      <rPr>
        <sz val="11"/>
        <rFont val="Linux Libertine G"/>
        <family val="2"/>
        <charset val="1"/>
      </rPr>
      <t xml:space="preserve">N </t>
    </r>
    <r>
      <rPr>
        <sz val="11"/>
        <rFont val="Linux Libertine G"/>
        <family val="2"/>
      </rPr>
      <t xml:space="preserve">列改成最终 </t>
    </r>
    <r>
      <rPr>
        <sz val="11"/>
        <rFont val="Linux Libertine G"/>
        <family val="2"/>
        <charset val="1"/>
      </rPr>
      <t xml:space="preserve">Pro-Forma</t>
    </r>
    <r>
      <rPr>
        <sz val="11"/>
        <rFont val="Linux Libertine G"/>
        <family val="2"/>
      </rPr>
      <t xml:space="preserve">（净利 </t>
    </r>
    <r>
      <rPr>
        <sz val="11"/>
        <rFont val="Linux Libertine G"/>
        <family val="2"/>
        <charset val="1"/>
      </rPr>
      <t xml:space="preserve">$15,262M</t>
    </r>
    <r>
      <rPr>
        <sz val="11"/>
        <rFont val="Linux Libertine G"/>
        <family val="2"/>
      </rPr>
      <t xml:space="preserve">、现金 </t>
    </r>
    <r>
      <rPr>
        <sz val="11"/>
        <rFont val="Linux Libertine G"/>
        <family val="2"/>
        <charset val="1"/>
      </rPr>
      <t xml:space="preserve">$9,274M</t>
    </r>
    <r>
      <rPr>
        <sz val="11"/>
        <rFont val="Linux Libertine G"/>
        <family val="2"/>
      </rPr>
      <t xml:space="preserve">）；“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和测试工具”改三情景、降成本，新增 </t>
    </r>
    <r>
      <rPr>
        <sz val="11"/>
        <rFont val="Linux Libertine G"/>
        <family val="2"/>
        <charset val="1"/>
      </rPr>
      <t xml:space="preserve">Chow </t>
    </r>
    <r>
      <rPr>
        <sz val="11"/>
        <rFont val="Linux Libertine G"/>
        <family val="2"/>
      </rPr>
      <t xml:space="preserve">一行；“结论总表”改降成本一行，新增 </t>
    </r>
    <r>
      <rPr>
        <sz val="11"/>
        <rFont val="Linux Libertine G"/>
        <family val="2"/>
        <charset val="1"/>
      </rPr>
      <t xml:space="preserve">Chow ⏳</t>
    </r>
    <r>
      <rPr>
        <sz val="11"/>
        <rFont val="Linux Libertine G"/>
        <family val="2"/>
      </rPr>
      <t xml:space="preserve">（统计公式范围改到 </t>
    </r>
    <r>
      <rPr>
        <sz val="11"/>
        <rFont val="Linux Libertine G"/>
        <family val="2"/>
        <charset val="1"/>
      </rPr>
      <t xml:space="preserve">A5:A84</t>
    </r>
    <r>
      <rPr>
        <sz val="11"/>
        <rFont val="Linux Libertine G"/>
        <family val="2"/>
      </rPr>
      <t xml:space="preserve">）；“正式比赛变数记录”新增 </t>
    </r>
    <r>
      <rPr>
        <sz val="11"/>
        <rFont val="Linux Libertine G"/>
        <family val="2"/>
        <charset val="1"/>
      </rPr>
      <t xml:space="preserve">3 </t>
    </r>
    <r>
      <rPr>
        <sz val="11"/>
        <rFont val="Linux Libertine G"/>
        <family val="2"/>
      </rPr>
      <t xml:space="preserve">条。</t>
    </r>
  </si>
  <si>
    <r>
      <rPr>
        <sz val="11"/>
        <rFont val="Linux Libertine G"/>
        <family val="2"/>
      </rPr>
      <t xml:space="preserve">跑车改名：</t>
    </r>
    <r>
      <rPr>
        <sz val="11"/>
        <rFont val="Linux Libertine G"/>
        <family val="2"/>
        <charset val="1"/>
      </rPr>
      <t xml:space="preserve">Cheetah → Chow</t>
    </r>
    <r>
      <rPr>
        <sz val="11"/>
        <rFont val="Linux Libertine G"/>
        <family val="2"/>
      </rPr>
      <t xml:space="preserve">（用户用自己的姓命名）。</t>
    </r>
    <r>
      <rPr>
        <sz val="11"/>
        <rFont val="Linux Libertine G"/>
        <family val="2"/>
        <charset val="1"/>
      </rPr>
      <t xml:space="preserve">sim </t>
    </r>
    <r>
      <rPr>
        <sz val="11"/>
        <rFont val="Linux Libertine G"/>
        <family val="2"/>
      </rPr>
      <t xml:space="preserve">研发页面和 </t>
    </r>
    <r>
      <rPr>
        <sz val="11"/>
        <rFont val="Linux Libertine G"/>
        <family val="2"/>
        <charset val="1"/>
      </rPr>
      <t xml:space="preserve">Rationale </t>
    </r>
    <r>
      <rPr>
        <sz val="11"/>
        <rFont val="Linux Libertine G"/>
        <family val="2"/>
      </rPr>
      <t xml:space="preserve">已改；本表所有 </t>
    </r>
    <r>
      <rPr>
        <sz val="11"/>
        <rFont val="Linux Libertine G"/>
        <family val="2"/>
        <charset val="1"/>
      </rPr>
      <t xml:space="preserve">Cheetah </t>
    </r>
    <r>
      <rPr>
        <sz val="11"/>
        <rFont val="Linux Libertine G"/>
        <family val="2"/>
      </rPr>
      <t xml:space="preserve">都改成 </t>
    </r>
    <r>
      <rPr>
        <sz val="11"/>
        <rFont val="Linux Libertine G"/>
        <family val="2"/>
        <charset val="1"/>
      </rPr>
      <t xml:space="preserve">Chow</t>
    </r>
    <r>
      <rPr>
        <sz val="11"/>
        <rFont val="Linux Libertine G"/>
        <family val="2"/>
      </rPr>
      <t xml:space="preserve">。</t>
    </r>
  </si>
  <si>
    <r>
      <rPr>
        <sz val="11"/>
        <rFont val="Linux Libertine G"/>
        <family val="2"/>
      </rPr>
      <t xml:space="preserve">每年做了什么、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和测试工具、结论总表、更新记录</t>
    </r>
  </si>
  <si>
    <r>
      <rPr>
        <sz val="11"/>
        <rFont val="Linux Libertine G"/>
        <family val="2"/>
      </rPr>
      <t xml:space="preserve">正式 </t>
    </r>
    <r>
      <rPr>
        <sz val="11"/>
        <rFont val="Linux Libertine G"/>
        <family val="2"/>
        <charset val="1"/>
      </rPr>
      <t xml:space="preserve">Year 4 </t>
    </r>
    <r>
      <rPr>
        <sz val="11"/>
        <rFont val="Linux Libertine G"/>
        <family val="2"/>
      </rPr>
      <t xml:space="preserve">结果和 </t>
    </r>
    <r>
      <rPr>
        <sz val="11"/>
        <rFont val="Linux Libertine G"/>
        <family val="2"/>
        <charset val="1"/>
      </rPr>
      <t xml:space="preserve">Decision 5</t>
    </r>
    <r>
      <rPr>
        <sz val="11"/>
        <rFont val="Linux Libertine G"/>
        <family val="2"/>
      </rPr>
      <t xml:space="preserve">：新增“正式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复盘”页；“每年的结果”加 </t>
    </r>
    <r>
      <rPr>
        <sz val="11"/>
        <rFont val="Linux Libertine G"/>
        <family val="2"/>
        <charset val="1"/>
      </rPr>
      <t xml:space="preserve">O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实际）、</t>
    </r>
    <r>
      <rPr>
        <sz val="11"/>
        <rFont val="Linux Libertine G"/>
        <family val="2"/>
        <charset val="1"/>
      </rPr>
      <t xml:space="preserve">P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Y5 Pro-Forma</t>
    </r>
    <r>
      <rPr>
        <sz val="11"/>
        <rFont val="Linux Libertine G"/>
        <family val="2"/>
      </rPr>
      <t xml:space="preserve">）；“每年做了什么”加 </t>
    </r>
    <r>
      <rPr>
        <sz val="11"/>
        <rFont val="Linux Libertine G"/>
        <family val="2"/>
        <charset val="1"/>
      </rPr>
      <t xml:space="preserve">K </t>
    </r>
    <r>
      <rPr>
        <sz val="11"/>
        <rFont val="Linux Libertine G"/>
        <family val="2"/>
      </rPr>
      <t xml:space="preserve">列（正式 </t>
    </r>
    <r>
      <rPr>
        <sz val="11"/>
        <rFont val="Linux Libertine G"/>
        <family val="2"/>
        <charset val="1"/>
      </rPr>
      <t xml:space="preserve">Y5</t>
    </r>
    <r>
      <rPr>
        <sz val="11"/>
        <rFont val="Linux Libertine G"/>
        <family val="2"/>
      </rPr>
      <t xml:space="preserve">）；“结论总表”</t>
    </r>
    <r>
      <rPr>
        <sz val="11"/>
        <rFont val="Linux Libertine G"/>
        <family val="2"/>
        <charset val="1"/>
      </rPr>
      <t xml:space="preserve">8 </t>
    </r>
    <r>
      <rPr>
        <sz val="11"/>
        <rFont val="Linux Libertine G"/>
        <family val="2"/>
      </rPr>
      <t xml:space="preserve">条 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的 ⏳ 下结论（</t>
    </r>
    <r>
      <rPr>
        <sz val="11"/>
        <rFont val="Linux Libertine G"/>
        <family val="2"/>
        <charset val="1"/>
      </rPr>
      <t xml:space="preserve">7 ✅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1 ❌</t>
    </r>
    <r>
      <rPr>
        <sz val="11"/>
        <rFont val="Linux Libertine G"/>
        <family val="2"/>
      </rPr>
      <t xml:space="preserve">），新增 </t>
    </r>
    <r>
      <rPr>
        <sz val="11"/>
        <rFont val="Linux Libertine G"/>
        <family val="2"/>
        <charset val="1"/>
      </rPr>
      <t xml:space="preserve">6 </t>
    </r>
    <r>
      <rPr>
        <sz val="11"/>
        <rFont val="Linux Libertine G"/>
        <family val="2"/>
      </rPr>
      <t xml:space="preserve">条（</t>
    </r>
    <r>
      <rPr>
        <sz val="11"/>
        <rFont val="Linux Libertine G"/>
        <family val="2"/>
        <charset val="1"/>
      </rPr>
      <t xml:space="preserve">1 ❌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5 ⏳</t>
    </r>
    <r>
      <rPr>
        <sz val="11"/>
        <rFont val="Linux Libertine G"/>
        <family val="2"/>
      </rPr>
      <t xml:space="preserve">），统计公式范围改到 </t>
    </r>
    <r>
      <rPr>
        <sz val="11"/>
        <rFont val="Linux Libertine G"/>
        <family val="2"/>
        <charset val="1"/>
      </rPr>
      <t xml:space="preserve">A5:A90</t>
    </r>
    <r>
      <rPr>
        <sz val="11"/>
        <rFont val="Linux Libertine G"/>
        <family val="2"/>
      </rPr>
      <t xml:space="preserve">；“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和测试工具”加正式 </t>
    </r>
    <r>
      <rPr>
        <sz val="11"/>
        <rFont val="Linux Libertine G"/>
        <family val="2"/>
        <charset val="1"/>
      </rPr>
      <t xml:space="preserve">Y5 </t>
    </r>
    <r>
      <rPr>
        <sz val="11"/>
        <rFont val="Linux Libertine G"/>
        <family val="2"/>
      </rPr>
      <t xml:space="preserve">的测试和复查表；“正式比赛变数记录”新增 </t>
    </r>
    <r>
      <rPr>
        <sz val="11"/>
        <rFont val="Linux Libertine G"/>
        <family val="2"/>
        <charset val="1"/>
      </rPr>
      <t xml:space="preserve">10 </t>
    </r>
    <r>
      <rPr>
        <sz val="11"/>
        <rFont val="Linux Libertine G"/>
        <family val="2"/>
      </rPr>
      <t xml:space="preserve">条。</t>
    </r>
  </si>
  <si>
    <r>
      <rPr>
        <sz val="11"/>
        <rFont val="Linux Libertine G"/>
        <family val="2"/>
      </rPr>
      <t xml:space="preserve">正式</t>
    </r>
    <r>
      <rPr>
        <sz val="11"/>
        <rFont val="Linux Libertine G"/>
        <family val="2"/>
        <charset val="1"/>
      </rPr>
      <t xml:space="preserve">Y4</t>
    </r>
    <r>
      <rPr>
        <sz val="11"/>
        <rFont val="Linux Libertine G"/>
        <family val="2"/>
      </rPr>
      <t xml:space="preserve">复盘、每年的结果、每年做了什么、结论总表、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和测试工具、正式比赛变数记录</t>
    </r>
  </si>
  <si>
    <r>
      <rPr>
        <sz val="11"/>
        <rFont val="Linux Libertine G"/>
        <family val="2"/>
      </rPr>
      <t xml:space="preserve">用户问“现金留着干嘛”后改 </t>
    </r>
    <r>
      <rPr>
        <sz val="11"/>
        <rFont val="Linux Libertine G"/>
        <family val="2"/>
        <charset val="1"/>
      </rPr>
      <t xml:space="preserve">D5</t>
    </r>
    <r>
      <rPr>
        <sz val="11"/>
        <rFont val="Linux Libertine G"/>
        <family val="2"/>
      </rPr>
      <t xml:space="preserve">：产能 </t>
    </r>
    <r>
      <rPr>
        <sz val="11"/>
        <rFont val="Linux Libertine G"/>
        <family val="2"/>
        <charset val="1"/>
      </rPr>
      <t xml:space="preserve">+200K → +500K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Cosmo 330K → 350K</t>
    </r>
    <r>
      <rPr>
        <sz val="11"/>
        <rFont val="Linux Libertine G"/>
        <family val="2"/>
      </rPr>
      <t xml:space="preserve">、分红 </t>
    </r>
    <r>
      <rPr>
        <sz val="11"/>
        <rFont val="Linux Libertine G"/>
        <family val="2"/>
        <charset val="1"/>
      </rPr>
      <t xml:space="preserve">$100M → $1,440M</t>
    </r>
    <r>
      <rPr>
        <sz val="11"/>
        <rFont val="Linux Libertine G"/>
        <family val="2"/>
      </rPr>
      <t xml:space="preserve">。“每年做了什么”</t>
    </r>
    <r>
      <rPr>
        <sz val="11"/>
        <rFont val="Linux Libertine G"/>
        <family val="2"/>
        <charset val="1"/>
      </rPr>
      <t xml:space="preserve">K </t>
    </r>
    <r>
      <rPr>
        <sz val="11"/>
        <rFont val="Linux Libertine G"/>
        <family val="2"/>
      </rPr>
      <t xml:space="preserve">列、“每年的结果”</t>
    </r>
    <r>
      <rPr>
        <sz val="11"/>
        <rFont val="Linux Libertine G"/>
        <family val="2"/>
        <charset val="1"/>
      </rPr>
      <t xml:space="preserve">P </t>
    </r>
    <r>
      <rPr>
        <sz val="11"/>
        <rFont val="Linux Libertine G"/>
        <family val="2"/>
      </rPr>
      <t xml:space="preserve">列、“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和测试工具”三情景已更新；“结论总表”新增 </t>
    </r>
    <r>
      <rPr>
        <sz val="11"/>
        <rFont val="Linux Libertine G"/>
        <family val="2"/>
        <charset val="1"/>
      </rPr>
      <t xml:space="preserve">2 </t>
    </r>
    <r>
      <rPr>
        <sz val="11"/>
        <rFont val="Linux Libertine G"/>
        <family val="2"/>
      </rPr>
      <t xml:space="preserve">条 ⏳。</t>
    </r>
  </si>
  <si>
    <r>
      <rPr>
        <sz val="11"/>
        <rFont val="Linux Libertine G"/>
        <family val="2"/>
      </rPr>
      <t xml:space="preserve">每年做了什么、每年的结果、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和测试工具、结论总表</t>
    </r>
  </si>
  <si>
    <r>
      <rPr>
        <sz val="11"/>
        <rFont val="Linux Libertine G"/>
        <family val="2"/>
      </rPr>
      <t xml:space="preserve">“正式比赛变数记录”新增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条：分红和回购在练习轮都没测过；</t>
    </r>
    <r>
      <rPr>
        <sz val="11"/>
        <rFont val="Linux Libertine G"/>
        <family val="2"/>
        <charset val="1"/>
      </rPr>
      <t xml:space="preserve">Y4 </t>
    </r>
    <r>
      <rPr>
        <sz val="11"/>
        <rFont val="Linux Libertine G"/>
        <family val="2"/>
      </rPr>
      <t xml:space="preserve">七家都没回购，分红都是 </t>
    </r>
    <r>
      <rPr>
        <sz val="11"/>
        <rFont val="Linux Libertine G"/>
        <family val="2"/>
        <charset val="1"/>
      </rPr>
      <t xml:space="preserve">$0 </t>
    </r>
    <r>
      <rPr>
        <sz val="11"/>
        <rFont val="Linux Libertine G"/>
        <family val="2"/>
      </rPr>
      <t xml:space="preserve">或 </t>
    </r>
    <r>
      <rPr>
        <sz val="11"/>
        <rFont val="Linux Libertine G"/>
        <family val="2"/>
        <charset val="1"/>
      </rPr>
      <t xml:space="preserve">$100M</t>
    </r>
    <r>
      <rPr>
        <sz val="11"/>
        <rFont val="Linux Libertine G"/>
        <family val="2"/>
      </rPr>
      <t xml:space="preserve">；</t>
    </r>
    <r>
      <rPr>
        <sz val="11"/>
        <rFont val="Linux Libertine G"/>
        <family val="2"/>
        <charset val="1"/>
      </rPr>
      <t xml:space="preserve">F </t>
    </r>
    <r>
      <rPr>
        <sz val="11"/>
        <rFont val="Linux Libertine G"/>
        <family val="2"/>
      </rPr>
      <t xml:space="preserve">增发 </t>
    </r>
    <r>
      <rPr>
        <sz val="11"/>
        <rFont val="Linux Libertine G"/>
        <family val="2"/>
        <charset val="1"/>
      </rPr>
      <t xml:space="preserve">$6B </t>
    </r>
    <r>
      <rPr>
        <sz val="11"/>
        <rFont val="Linux Libertine G"/>
        <family val="2"/>
      </rPr>
      <t xml:space="preserve">后市值 </t>
    </r>
    <r>
      <rPr>
        <sz val="11"/>
        <rFont val="Linux Libertine G"/>
        <family val="2"/>
        <charset val="1"/>
      </rPr>
      <t xml:space="preserve">+64%</t>
    </r>
    <r>
      <rPr>
        <sz val="11"/>
        <rFont val="Linux Libertine G"/>
        <family val="2"/>
      </rPr>
      <t xml:space="preserve">。</t>
    </r>
  </si>
  <si>
    <t xml:space="preserve">正式比赛变数记录</t>
  </si>
  <si>
    <r>
      <rPr>
        <sz val="11"/>
        <rFont val="Linux Libertine G"/>
        <family val="2"/>
      </rPr>
      <t xml:space="preserve">用户提出多花营销：营销 </t>
    </r>
    <r>
      <rPr>
        <sz val="11"/>
        <rFont val="Linux Libertine G"/>
        <family val="2"/>
        <charset val="1"/>
      </rPr>
      <t xml:space="preserve">$1,753M → $2,213M</t>
    </r>
    <r>
      <rPr>
        <sz val="11"/>
        <rFont val="Linux Libertine G"/>
        <family val="2"/>
      </rPr>
      <t xml:space="preserve">（营收 </t>
    </r>
    <r>
      <rPr>
        <sz val="11"/>
        <rFont val="Linux Libertine G"/>
        <family val="2"/>
        <charset val="1"/>
      </rPr>
      <t xml:space="preserve">2.5%</t>
    </r>
    <r>
      <rPr>
        <sz val="11"/>
        <rFont val="Linux Libertine G"/>
        <family val="2"/>
      </rPr>
      <t xml:space="preserve">）。“每年做了什么”</t>
    </r>
    <r>
      <rPr>
        <sz val="11"/>
        <rFont val="Linux Libertine G"/>
        <family val="2"/>
        <charset val="1"/>
      </rPr>
      <t xml:space="preserve">K6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K22</t>
    </r>
    <r>
      <rPr>
        <sz val="11"/>
        <rFont val="Linux Libertine G"/>
        <family val="2"/>
      </rPr>
      <t xml:space="preserve">，“每年的结果”</t>
    </r>
    <r>
      <rPr>
        <sz val="11"/>
        <rFont val="Linux Libertine G"/>
        <family val="2"/>
        <charset val="1"/>
      </rPr>
      <t xml:space="preserve">P5</t>
    </r>
    <r>
      <rPr>
        <sz val="11"/>
        <rFont val="Linux Libertine G"/>
        <family val="2"/>
      </rPr>
      <t xml:space="preserve">、</t>
    </r>
    <r>
      <rPr>
        <sz val="11"/>
        <rFont val="Linux Libertine G"/>
        <family val="2"/>
        <charset val="1"/>
      </rPr>
      <t xml:space="preserve">P15</t>
    </r>
    <r>
      <rPr>
        <sz val="11"/>
        <rFont val="Linux Libertine G"/>
        <family val="2"/>
      </rPr>
      <t xml:space="preserve">，“</t>
    </r>
    <r>
      <rPr>
        <sz val="11"/>
        <rFont val="Linux Libertine G"/>
        <family val="2"/>
        <charset val="1"/>
      </rPr>
      <t xml:space="preserve">Skill</t>
    </r>
    <r>
      <rPr>
        <sz val="11"/>
        <rFont val="Linux Libertine G"/>
        <family val="2"/>
      </rPr>
      <t xml:space="preserve">和测试工具”三情景已更新；“结论总表”和“正式比赛变数记录”各新增 </t>
    </r>
    <r>
      <rPr>
        <sz val="11"/>
        <rFont val="Linux Libertine G"/>
        <family val="2"/>
        <charset val="1"/>
      </rPr>
      <t xml:space="preserve">1 </t>
    </r>
    <r>
      <rPr>
        <sz val="11"/>
        <rFont val="Linux Libertine G"/>
        <family val="2"/>
      </rPr>
      <t xml:space="preserve">条。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</si>
</sst>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"/>
    <numFmt numFmtId="166" formatCode="#,##0"/>
    <numFmt numFmtId="167" formatCode="0.0%"/>
    <numFmt numFmtId="168" formatCode="\$#,##0;&quot;($&quot;#,##0\);\—"/>
    <numFmt numFmtId="169" formatCode="0.0%;\-0.0%;\—"/>
    <numFmt numFmtId="170" formatCode="\$0.00;&quot;-$&quot;0.00;\—"/>
    <numFmt numFmtId="171" formatCode="\$0.00"/>
    <numFmt numFmtId="172" formatCode="0;\-0;0"/>
    <numFmt numFmtId="173" formatCode="0"/>
    <numFmt numFmtId="174" formatCode="\$#,##0;&quot;($&quot;#,##0\);\$0"/>
    <numFmt numFmtId="175" formatCode="\+#,##0;\-#,##0"/>
    <numFmt numFmtId="176" formatCode="\+0.0%;\-0.0%"/>
    <numFmt numFmtId="177" formatCode="#,##0;\-#,##0"/>
    <numFmt numFmtId="178" formatCode="0%"/>
    <numFmt numFmtId="179" formatCode="\$#,##0;[RED]&quot;($&quot;#,##0\);\—"/>
    <numFmt numFmtId="180" formatCode="#,##0;[RED]\(#,##0\)"/>
  </numFmts>
  <fonts count="29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Linux Libertine G"/>
      <family val="2"/>
    </font>
    <font>
      <b val="true"/>
      <sz val="14"/>
      <name val="Linux Libertine G"/>
      <family val="2"/>
      <charset val="1"/>
    </font>
    <font>
      <i val="true"/>
      <sz val="11"/>
      <color rgb="FF595959"/>
      <name val="Linux Libertine G"/>
      <family val="2"/>
    </font>
    <font>
      <i val="true"/>
      <sz val="11"/>
      <color rgb="FF595959"/>
      <name val="Linux Libertine G"/>
      <family val="2"/>
      <charset val="1"/>
    </font>
    <font>
      <b val="true"/>
      <sz val="11"/>
      <color rgb="FFFFFFFF"/>
      <name val="Linux Libertine G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Linux Libertine G"/>
      <family val="2"/>
      <charset val="1"/>
    </font>
    <font>
      <b val="true"/>
      <sz val="11"/>
      <color rgb="FF000000"/>
      <name val="Linux Libertine G"/>
      <family val="2"/>
    </font>
    <font>
      <sz val="11"/>
      <color rgb="FF000000"/>
      <name val="Arial"/>
      <family val="0"/>
      <charset val="1"/>
    </font>
    <font>
      <sz val="11"/>
      <color rgb="FF000000"/>
      <name val="Linux Libertine G"/>
      <family val="2"/>
    </font>
    <font>
      <sz val="11"/>
      <color rgb="FF000000"/>
      <name val="Linux Libertine G"/>
      <family val="2"/>
      <charset val="1"/>
    </font>
    <font>
      <b val="true"/>
      <sz val="11"/>
      <color rgb="FF000000"/>
      <name val="Linux Libertine G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3864"/>
      <name val="Linux Libertine G"/>
      <family val="2"/>
    </font>
    <font>
      <b val="true"/>
      <sz val="11"/>
      <color rgb="FF1F3864"/>
      <name val="Linux Libertine G"/>
      <family val="2"/>
      <charset val="1"/>
    </font>
    <font>
      <b val="true"/>
      <sz val="11"/>
      <name val="Linux Libertine G"/>
      <family val="2"/>
    </font>
    <font>
      <sz val="11"/>
      <name val="Linux Libertine G"/>
      <family val="2"/>
    </font>
    <font>
      <sz val="11"/>
      <name val="Arial"/>
      <family val="0"/>
      <charset val="1"/>
    </font>
    <font>
      <sz val="11"/>
      <name val="Linux Libertine G"/>
      <family val="2"/>
      <charset val="1"/>
    </font>
    <font>
      <b val="true"/>
      <sz val="11"/>
      <name val="Linux Libertine G"/>
      <family val="2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theme="1"/>
      <name val="Linux Libertine G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9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view="normal" topLeftCell="A1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  <col collapsed="false" customWidth="true" hidden="false" outlineLevel="0" max="3" min="3" style="1" width="42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2" t="s">
        <v>0</v>
      </c>
    </row>
    <row r="2" customFormat="false" ht="4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 t="s">
        <v>3</v>
      </c>
      <c r="C4" s="4" t="s">
        <v>4</v>
      </c>
      <c r="D4" s="4" t="s">
        <v>5</v>
      </c>
    </row>
    <row r="5" customFormat="false" ht="27.75" hidden="false" customHeight="true" outlineLevel="0" collapsed="false">
      <c r="A5" s="6" t="s">
        <v>6</v>
      </c>
      <c r="B5" s="7" t="s">
        <v>7</v>
      </c>
      <c r="C5" s="8" t="s">
        <v>8</v>
      </c>
      <c r="D5" s="8" t="s">
        <v>9</v>
      </c>
    </row>
    <row r="6" customFormat="false" ht="15" hidden="false" customHeight="true" outlineLevel="0" collapsed="false">
      <c r="A6" s="6" t="s">
        <v>10</v>
      </c>
      <c r="B6" s="8" t="s">
        <v>11</v>
      </c>
      <c r="C6" s="8" t="s">
        <v>12</v>
      </c>
      <c r="D6" s="9" t="s">
        <v>13</v>
      </c>
    </row>
    <row r="7" customFormat="false" ht="15" hidden="false" customHeight="true" outlineLevel="0" collapsed="false">
      <c r="A7" s="6" t="s">
        <v>14</v>
      </c>
      <c r="B7" s="7" t="s">
        <v>15</v>
      </c>
      <c r="C7" s="8" t="s">
        <v>16</v>
      </c>
      <c r="D7" s="9" t="s">
        <v>17</v>
      </c>
    </row>
    <row r="8" customFormat="false" ht="27.75" hidden="false" customHeight="true" outlineLevel="0" collapsed="false">
      <c r="A8" s="6" t="s">
        <v>18</v>
      </c>
      <c r="B8" s="8" t="s">
        <v>19</v>
      </c>
      <c r="C8" s="8" t="s">
        <v>20</v>
      </c>
      <c r="D8" s="8" t="s">
        <v>21</v>
      </c>
    </row>
    <row r="9" customFormat="false" ht="15" hidden="false" customHeight="true" outlineLevel="0" collapsed="false">
      <c r="A9" s="6" t="s">
        <v>22</v>
      </c>
      <c r="B9" s="7" t="s">
        <v>23</v>
      </c>
      <c r="C9" s="7" t="s">
        <v>24</v>
      </c>
      <c r="D9" s="8" t="s">
        <v>25</v>
      </c>
    </row>
    <row r="10" customFormat="false" ht="15" hidden="false" customHeight="true" outlineLevel="0" collapsed="false">
      <c r="A10" s="6" t="s">
        <v>26</v>
      </c>
      <c r="B10" s="8" t="s">
        <v>27</v>
      </c>
      <c r="C10" s="8" t="s">
        <v>28</v>
      </c>
      <c r="D10" s="9" t="s">
        <v>29</v>
      </c>
    </row>
    <row r="11" customFormat="false" ht="15" hidden="false" customHeight="true" outlineLevel="0" collapsed="false">
      <c r="A11" s="6" t="s">
        <v>30</v>
      </c>
      <c r="B11" s="7" t="s">
        <v>31</v>
      </c>
      <c r="C11" s="7" t="s">
        <v>32</v>
      </c>
      <c r="D11" s="7" t="s">
        <v>33</v>
      </c>
    </row>
    <row r="12" customFormat="false" ht="15" hidden="false" customHeight="true" outlineLevel="0" collapsed="false">
      <c r="A12" s="6" t="s">
        <v>34</v>
      </c>
      <c r="B12" s="8" t="s">
        <v>35</v>
      </c>
      <c r="C12" s="8" t="s">
        <v>36</v>
      </c>
      <c r="D12" s="9" t="s">
        <v>37</v>
      </c>
    </row>
    <row r="13" customFormat="false" ht="15" hidden="false" customHeight="true" outlineLevel="0" collapsed="false">
      <c r="A13" s="6" t="s">
        <v>38</v>
      </c>
      <c r="B13" s="8" t="s">
        <v>39</v>
      </c>
      <c r="C13" s="7" t="s">
        <v>40</v>
      </c>
      <c r="D13" s="8" t="s">
        <v>41</v>
      </c>
    </row>
    <row r="14" customFormat="false" ht="15" hidden="false" customHeight="true" outlineLevel="0" collapsed="false">
      <c r="A14" s="6" t="s">
        <v>42</v>
      </c>
      <c r="B14" s="8" t="s">
        <v>43</v>
      </c>
      <c r="C14" s="7" t="s">
        <v>44</v>
      </c>
      <c r="D14" s="8" t="s">
        <v>45</v>
      </c>
    </row>
    <row r="15" customFormat="false" ht="15" hidden="false" customHeight="true" outlineLevel="0" collapsed="false">
      <c r="A15" s="6" t="s">
        <v>46</v>
      </c>
      <c r="B15" s="7" t="s">
        <v>47</v>
      </c>
      <c r="C15" s="7" t="s">
        <v>48</v>
      </c>
      <c r="D15" s="8" t="s">
        <v>49</v>
      </c>
    </row>
    <row r="16" customFormat="false" ht="15" hidden="false" customHeight="true" outlineLevel="0" collapsed="false">
      <c r="A16" s="10" t="s">
        <v>50</v>
      </c>
      <c r="B16" s="8" t="s">
        <v>51</v>
      </c>
      <c r="C16" s="8" t="s">
        <v>52</v>
      </c>
      <c r="D16" s="8" t="s">
        <v>53</v>
      </c>
    </row>
    <row r="18" customFormat="false" ht="15" hidden="false" customHeight="true" outlineLevel="0" collapsed="false">
      <c r="A18" s="4" t="s">
        <v>54</v>
      </c>
      <c r="B18" s="4" t="s">
        <v>55</v>
      </c>
      <c r="C18" s="4"/>
    </row>
    <row r="19" customFormat="false" ht="15" hidden="false" customHeight="true" outlineLevel="0" collapsed="false">
      <c r="A19" s="6" t="s">
        <v>56</v>
      </c>
      <c r="B19" s="8" t="s">
        <v>57</v>
      </c>
      <c r="C19" s="7"/>
    </row>
    <row r="20" customFormat="false" ht="15" hidden="false" customHeight="true" outlineLevel="0" collapsed="false">
      <c r="A20" s="6" t="s">
        <v>58</v>
      </c>
      <c r="B20" s="7" t="s">
        <v>59</v>
      </c>
      <c r="C20" s="7"/>
    </row>
    <row r="21" customFormat="false" ht="27" hidden="false" customHeight="true" outlineLevel="0" collapsed="false">
      <c r="A21" s="6" t="s">
        <v>60</v>
      </c>
      <c r="B21" s="7" t="s">
        <v>61</v>
      </c>
      <c r="C21" s="7"/>
    </row>
    <row r="22" customFormat="false" ht="15" hidden="false" customHeight="true" outlineLevel="0" collapsed="false">
      <c r="A22" s="6" t="s">
        <v>62</v>
      </c>
      <c r="B22" s="8" t="s">
        <v>63</v>
      </c>
      <c r="C22" s="7"/>
    </row>
    <row r="23" customFormat="false" ht="15" hidden="false" customHeight="true" outlineLevel="0" collapsed="false">
      <c r="A23" s="6" t="s">
        <v>64</v>
      </c>
      <c r="B23" s="8" t="s">
        <v>65</v>
      </c>
      <c r="C23" s="7"/>
    </row>
    <row r="24" customFormat="false" ht="15" hidden="false" customHeight="true" outlineLevel="0" collapsed="false">
      <c r="A24" s="6" t="s">
        <v>66</v>
      </c>
      <c r="B24" s="8" t="s">
        <v>67</v>
      </c>
      <c r="C24" s="7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view="normal" topLeftCell="A1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" width="19.59"/>
    <col collapsed="false" customWidth="true" hidden="false" outlineLevel="0" max="5" min="2" style="1" width="32.65"/>
    <col collapsed="false" customWidth="true" hidden="false" outlineLevel="0" max="6" min="6" style="1" width="43.53"/>
    <col collapsed="false" customWidth="true" hidden="false" outlineLevel="0" max="8" min="7" style="1" width="32.65"/>
    <col collapsed="false" customWidth="true" hidden="false" outlineLevel="0" max="9" min="9" style="1" width="13"/>
    <col collapsed="false" customWidth="true" hidden="false" outlineLevel="0" max="11" min="10" style="1" width="34"/>
  </cols>
  <sheetData>
    <row r="1" customFormat="false" ht="17.25" hidden="false" customHeight="true" outlineLevel="0" collapsed="false">
      <c r="A1" s="11" t="s">
        <v>68</v>
      </c>
    </row>
    <row r="2" customFormat="false" ht="31.5" hidden="false" customHeight="true" outlineLevel="0" collapsed="false">
      <c r="A2" s="12" t="s">
        <v>69</v>
      </c>
      <c r="B2" s="12"/>
      <c r="C2" s="12"/>
      <c r="D2" s="12"/>
      <c r="E2" s="12"/>
      <c r="F2" s="12"/>
    </row>
    <row r="4" customFormat="false" ht="15" hidden="false" customHeight="true" outlineLevel="0" collapsed="false">
      <c r="A4" s="13" t="s">
        <v>2</v>
      </c>
      <c r="B4" s="14" t="s">
        <v>70</v>
      </c>
      <c r="C4" s="14" t="s">
        <v>71</v>
      </c>
      <c r="D4" s="14" t="s">
        <v>72</v>
      </c>
      <c r="E4" s="14" t="s">
        <v>73</v>
      </c>
      <c r="F4" s="13" t="s">
        <v>74</v>
      </c>
      <c r="G4" s="13" t="s">
        <v>75</v>
      </c>
      <c r="H4" s="13" t="s">
        <v>76</v>
      </c>
      <c r="I4" s="13" t="s">
        <v>77</v>
      </c>
      <c r="J4" s="13" t="s">
        <v>78</v>
      </c>
      <c r="K4" s="13" t="s">
        <v>79</v>
      </c>
    </row>
    <row r="5" customFormat="false" ht="14.25" hidden="false" customHeight="true" outlineLevel="0" collapsed="false">
      <c r="A5" s="15" t="s">
        <v>80</v>
      </c>
      <c r="B5" s="15"/>
      <c r="C5" s="15"/>
      <c r="D5" s="15"/>
      <c r="E5" s="15"/>
      <c r="F5" s="15"/>
      <c r="G5" s="16"/>
      <c r="H5" s="16"/>
      <c r="I5" s="16"/>
      <c r="J5" s="16"/>
    </row>
    <row r="6" customFormat="false" ht="163.5" hidden="false" customHeight="true" outlineLevel="0" collapsed="false">
      <c r="A6" s="17" t="s">
        <v>81</v>
      </c>
      <c r="B6" s="18" t="s">
        <v>82</v>
      </c>
      <c r="C6" s="19" t="s">
        <v>83</v>
      </c>
      <c r="D6" s="19" t="s">
        <v>84</v>
      </c>
      <c r="E6" s="20" t="s">
        <v>85</v>
      </c>
      <c r="F6" s="19" t="s">
        <v>86</v>
      </c>
      <c r="G6" s="21" t="s">
        <v>87</v>
      </c>
      <c r="H6" s="21" t="s">
        <v>88</v>
      </c>
      <c r="I6" s="21" t="s">
        <v>89</v>
      </c>
      <c r="J6" s="21" t="s">
        <v>90</v>
      </c>
      <c r="K6" s="21" t="s">
        <v>91</v>
      </c>
    </row>
    <row r="7" customFormat="false" ht="15" hidden="false" customHeight="true" outlineLevel="0" collapsed="false">
      <c r="A7" s="15" t="s">
        <v>92</v>
      </c>
      <c r="B7" s="15"/>
      <c r="C7" s="15"/>
      <c r="D7" s="15"/>
      <c r="E7" s="15"/>
      <c r="F7" s="15"/>
      <c r="G7" s="16"/>
      <c r="H7" s="16"/>
      <c r="I7" s="16"/>
      <c r="J7" s="16"/>
    </row>
    <row r="8" customFormat="false" ht="15" hidden="false" customHeight="true" outlineLevel="0" collapsed="false">
      <c r="A8" s="17" t="s">
        <v>93</v>
      </c>
      <c r="B8" s="19" t="s">
        <v>94</v>
      </c>
      <c r="C8" s="19" t="s">
        <v>95</v>
      </c>
      <c r="D8" s="19" t="s">
        <v>96</v>
      </c>
      <c r="E8" s="20" t="s">
        <v>97</v>
      </c>
      <c r="F8" s="18" t="s">
        <v>98</v>
      </c>
      <c r="G8" s="19" t="s">
        <v>95</v>
      </c>
      <c r="H8" s="19" t="s">
        <v>96</v>
      </c>
      <c r="I8" s="19" t="s">
        <v>99</v>
      </c>
      <c r="J8" s="19" t="s">
        <v>100</v>
      </c>
      <c r="K8" s="19" t="s">
        <v>100</v>
      </c>
    </row>
    <row r="9" customFormat="false" ht="42" hidden="false" customHeight="true" outlineLevel="0" collapsed="false">
      <c r="A9" s="17" t="s">
        <v>101</v>
      </c>
      <c r="B9" s="19" t="s">
        <v>102</v>
      </c>
      <c r="C9" s="19" t="s">
        <v>103</v>
      </c>
      <c r="D9" s="19" t="s">
        <v>104</v>
      </c>
      <c r="E9" s="20" t="s">
        <v>105</v>
      </c>
      <c r="F9" s="18" t="s">
        <v>106</v>
      </c>
      <c r="G9" s="19" t="s">
        <v>107</v>
      </c>
      <c r="H9" s="19" t="s">
        <v>108</v>
      </c>
      <c r="I9" s="19" t="s">
        <v>109</v>
      </c>
      <c r="J9" s="21" t="s">
        <v>110</v>
      </c>
      <c r="K9" s="21" t="s">
        <v>111</v>
      </c>
    </row>
    <row r="10" customFormat="false" ht="96" hidden="false" customHeight="true" outlineLevel="0" collapsed="false">
      <c r="A10" s="17" t="s">
        <v>112</v>
      </c>
      <c r="B10" s="19" t="s">
        <v>113</v>
      </c>
      <c r="C10" s="19" t="s">
        <v>114</v>
      </c>
      <c r="D10" s="19" t="s">
        <v>115</v>
      </c>
      <c r="E10" s="20" t="s">
        <v>116</v>
      </c>
      <c r="F10" s="19" t="s">
        <v>117</v>
      </c>
      <c r="G10" s="19" t="s">
        <v>118</v>
      </c>
      <c r="H10" s="19" t="s">
        <v>119</v>
      </c>
      <c r="I10" s="18" t="s">
        <v>120</v>
      </c>
      <c r="J10" s="21" t="s">
        <v>121</v>
      </c>
      <c r="K10" s="21" t="s">
        <v>122</v>
      </c>
    </row>
    <row r="11" customFormat="false" ht="69" hidden="false" customHeight="true" outlineLevel="0" collapsed="false">
      <c r="A11" s="17" t="s">
        <v>123</v>
      </c>
      <c r="B11" s="18" t="s">
        <v>124</v>
      </c>
      <c r="C11" s="18" t="s">
        <v>125</v>
      </c>
      <c r="D11" s="19" t="s">
        <v>126</v>
      </c>
      <c r="E11" s="20" t="s">
        <v>127</v>
      </c>
      <c r="F11" s="19" t="s">
        <v>128</v>
      </c>
      <c r="G11" s="18" t="s">
        <v>129</v>
      </c>
      <c r="H11" s="21" t="s">
        <v>130</v>
      </c>
      <c r="I11" s="21" t="s">
        <v>131</v>
      </c>
      <c r="J11" s="21" t="s">
        <v>132</v>
      </c>
      <c r="K11" s="21" t="s">
        <v>133</v>
      </c>
    </row>
    <row r="12" customFormat="false" ht="69" hidden="false" customHeight="true" outlineLevel="0" collapsed="false">
      <c r="A12" s="17" t="s">
        <v>134</v>
      </c>
      <c r="B12" s="18" t="s">
        <v>124</v>
      </c>
      <c r="C12" s="18" t="s">
        <v>124</v>
      </c>
      <c r="D12" s="18" t="s">
        <v>135</v>
      </c>
      <c r="E12" s="20" t="s">
        <v>136</v>
      </c>
      <c r="F12" s="18" t="s">
        <v>137</v>
      </c>
      <c r="G12" s="18" t="s">
        <v>138</v>
      </c>
      <c r="H12" s="18" t="s">
        <v>139</v>
      </c>
      <c r="I12" s="21" t="s">
        <v>140</v>
      </c>
      <c r="J12" s="18" t="s">
        <v>141</v>
      </c>
      <c r="K12" s="21" t="s">
        <v>142</v>
      </c>
    </row>
    <row r="13" customFormat="false" ht="42" hidden="false" customHeight="true" outlineLevel="0" collapsed="false">
      <c r="A13" s="17" t="s">
        <v>143</v>
      </c>
      <c r="B13" s="18" t="s">
        <v>124</v>
      </c>
      <c r="C13" s="18" t="s">
        <v>124</v>
      </c>
      <c r="D13" s="18" t="s">
        <v>124</v>
      </c>
      <c r="E13" s="22" t="s">
        <v>124</v>
      </c>
      <c r="F13" s="18"/>
      <c r="G13" s="18" t="s">
        <v>124</v>
      </c>
      <c r="H13" s="18" t="s">
        <v>124</v>
      </c>
      <c r="I13" s="18" t="s">
        <v>144</v>
      </c>
      <c r="J13" s="18" t="s">
        <v>145</v>
      </c>
      <c r="K13" s="21" t="s">
        <v>146</v>
      </c>
    </row>
    <row r="14" customFormat="false" ht="15" hidden="false" customHeight="true" outlineLevel="0" collapsed="false">
      <c r="A14" s="17" t="s">
        <v>147</v>
      </c>
      <c r="B14" s="19" t="s">
        <v>148</v>
      </c>
      <c r="C14" s="18" t="s">
        <v>149</v>
      </c>
      <c r="D14" s="19" t="s">
        <v>150</v>
      </c>
      <c r="E14" s="22" t="s">
        <v>151</v>
      </c>
      <c r="F14" s="18" t="s">
        <v>152</v>
      </c>
      <c r="G14" s="19" t="s">
        <v>153</v>
      </c>
      <c r="H14" s="19" t="s">
        <v>154</v>
      </c>
      <c r="I14" s="19" t="s">
        <v>155</v>
      </c>
      <c r="J14" s="18" t="s">
        <v>156</v>
      </c>
      <c r="K14" s="21" t="s">
        <v>157</v>
      </c>
    </row>
    <row r="15" customFormat="false" ht="14.25" hidden="false" customHeight="true" outlineLevel="0" collapsed="false">
      <c r="A15" s="15" t="s">
        <v>158</v>
      </c>
      <c r="B15" s="15"/>
      <c r="C15" s="15"/>
      <c r="D15" s="15"/>
      <c r="E15" s="15"/>
      <c r="F15" s="15"/>
      <c r="G15" s="16"/>
      <c r="H15" s="16"/>
      <c r="I15" s="16"/>
      <c r="J15" s="16"/>
    </row>
    <row r="16" customFormat="false" ht="15" hidden="false" customHeight="true" outlineLevel="0" collapsed="false">
      <c r="A16" s="23" t="s">
        <v>159</v>
      </c>
      <c r="B16" s="24" t="n">
        <v>20750</v>
      </c>
      <c r="C16" s="24" t="n">
        <v>20900</v>
      </c>
      <c r="D16" s="24" t="n">
        <v>21500</v>
      </c>
      <c r="E16" s="25" t="n">
        <v>21500</v>
      </c>
      <c r="F16" s="19" t="s">
        <v>160</v>
      </c>
      <c r="G16" s="24" t="n">
        <v>22385</v>
      </c>
      <c r="H16" s="24" t="n">
        <v>24000</v>
      </c>
      <c r="I16" s="24" t="n">
        <v>26400</v>
      </c>
      <c r="J16" s="24" t="n">
        <v>29000</v>
      </c>
      <c r="K16" s="24" t="n">
        <v>30000</v>
      </c>
    </row>
    <row r="17" customFormat="false" ht="15" hidden="false" customHeight="true" outlineLevel="0" collapsed="false">
      <c r="A17" s="23" t="s">
        <v>161</v>
      </c>
      <c r="B17" s="24" t="n">
        <v>11850</v>
      </c>
      <c r="C17" s="24" t="n">
        <v>13000</v>
      </c>
      <c r="D17" s="24" t="n">
        <v>14000</v>
      </c>
      <c r="E17" s="25" t="n">
        <v>14000</v>
      </c>
      <c r="F17" s="19" t="s">
        <v>162</v>
      </c>
      <c r="G17" s="24" t="n">
        <v>12640</v>
      </c>
      <c r="H17" s="24" t="n">
        <v>13900</v>
      </c>
      <c r="I17" s="24" t="n">
        <v>15290</v>
      </c>
      <c r="J17" s="24" t="n">
        <v>16500</v>
      </c>
      <c r="K17" s="24" t="n">
        <v>18150</v>
      </c>
    </row>
    <row r="18" customFormat="false" ht="15" hidden="false" customHeight="true" outlineLevel="0" collapsed="false">
      <c r="A18" s="23" t="s">
        <v>163</v>
      </c>
      <c r="B18" s="24" t="n">
        <v>20900</v>
      </c>
      <c r="C18" s="24" t="n">
        <v>22400</v>
      </c>
      <c r="D18" s="24" t="n">
        <v>23300</v>
      </c>
      <c r="E18" s="25" t="n">
        <v>23300</v>
      </c>
      <c r="F18" s="19" t="s">
        <v>164</v>
      </c>
      <c r="G18" s="24" t="n">
        <v>22500</v>
      </c>
      <c r="H18" s="24" t="n">
        <v>24000</v>
      </c>
      <c r="I18" s="24" t="n">
        <v>25500</v>
      </c>
      <c r="J18" s="24" t="n">
        <v>27000</v>
      </c>
      <c r="K18" s="24" t="n">
        <v>27000</v>
      </c>
    </row>
    <row r="19" customFormat="false" ht="15" hidden="false" customHeight="true" outlineLevel="0" collapsed="false">
      <c r="A19" s="23" t="s">
        <v>165</v>
      </c>
      <c r="B19" s="26" t="s">
        <v>124</v>
      </c>
      <c r="C19" s="26" t="s">
        <v>124</v>
      </c>
      <c r="D19" s="24" t="n">
        <v>31000</v>
      </c>
      <c r="E19" s="25" t="n">
        <v>34000</v>
      </c>
      <c r="F19" s="18" t="s">
        <v>166</v>
      </c>
      <c r="G19" s="26" t="s">
        <v>124</v>
      </c>
      <c r="H19" s="26" t="s">
        <v>167</v>
      </c>
      <c r="I19" s="26" t="n">
        <v>39000</v>
      </c>
      <c r="J19" s="26" t="n">
        <v>39000</v>
      </c>
      <c r="K19" s="26" t="n">
        <v>40000</v>
      </c>
    </row>
    <row r="20" customFormat="false" ht="15" hidden="false" customHeight="true" outlineLevel="0" collapsed="false">
      <c r="A20" s="23" t="s">
        <v>168</v>
      </c>
      <c r="B20" s="26" t="s">
        <v>124</v>
      </c>
      <c r="C20" s="26" t="s">
        <v>124</v>
      </c>
      <c r="D20" s="27" t="s">
        <v>124</v>
      </c>
      <c r="E20" s="28" t="s">
        <v>124</v>
      </c>
      <c r="F20" s="18"/>
      <c r="G20" s="26" t="s">
        <v>124</v>
      </c>
      <c r="H20" s="26" t="s">
        <v>124</v>
      </c>
      <c r="I20" s="26" t="s">
        <v>124</v>
      </c>
      <c r="J20" s="26" t="n">
        <v>40000</v>
      </c>
      <c r="K20" s="26" t="n">
        <v>44000</v>
      </c>
    </row>
    <row r="21" customFormat="false" ht="15" hidden="false" customHeight="true" outlineLevel="0" collapsed="false">
      <c r="A21" s="15" t="s">
        <v>169</v>
      </c>
      <c r="B21" s="15"/>
      <c r="C21" s="15"/>
      <c r="D21" s="15"/>
      <c r="E21" s="15"/>
      <c r="F21" s="15"/>
      <c r="G21" s="16"/>
      <c r="H21" s="16"/>
      <c r="I21" s="16"/>
      <c r="J21" s="16"/>
    </row>
    <row r="22" customFormat="false" ht="15" hidden="false" customHeight="true" outlineLevel="0" collapsed="false">
      <c r="A22" s="17" t="s">
        <v>170</v>
      </c>
      <c r="B22" s="29" t="n">
        <v>225</v>
      </c>
      <c r="C22" s="29" t="n">
        <v>255</v>
      </c>
      <c r="D22" s="29" t="n">
        <v>760</v>
      </c>
      <c r="E22" s="30" t="n">
        <v>850</v>
      </c>
      <c r="F22" s="18" t="s">
        <v>171</v>
      </c>
      <c r="G22" s="29" t="n">
        <v>395</v>
      </c>
      <c r="H22" s="29" t="n">
        <v>675</v>
      </c>
      <c r="I22" s="29" t="n">
        <v>1105</v>
      </c>
      <c r="J22" s="29" t="n">
        <v>1555</v>
      </c>
      <c r="K22" s="29" t="n">
        <v>2213</v>
      </c>
    </row>
    <row r="23" customFormat="false" ht="27" hidden="false" customHeight="true" outlineLevel="0" collapsed="false">
      <c r="A23" s="17" t="s">
        <v>172</v>
      </c>
      <c r="B23" s="31" t="n">
        <f aca="false">IFERROR(B22/每年的结果!B6,0)</f>
        <v>0.00925392777823476</v>
      </c>
      <c r="C23" s="31" t="n">
        <f aca="false">IFERROR(C22/每年的结果!C6,0)</f>
        <v>0.0104795956108988</v>
      </c>
      <c r="D23" s="31" t="n">
        <f aca="false">IFERROR(D22/每年的结果!D6,0)</f>
        <v>0.0198531908779812</v>
      </c>
      <c r="E23" s="32" t="n">
        <f aca="false">IFERROR(E22/每年的结果!E6,0)</f>
        <v>0.0163420683290716</v>
      </c>
      <c r="F23" s="18" t="s">
        <v>173</v>
      </c>
      <c r="G23" s="31" t="n">
        <f aca="false">IFERROR(G22/每年的结果!H6,0)</f>
        <v>0.0172300981461287</v>
      </c>
      <c r="H23" s="31" t="n">
        <f aca="false">IFERROR(H22/每年的结果!J6,0)</f>
        <v>0.0224610674830294</v>
      </c>
      <c r="I23" s="31" t="n">
        <f aca="false">IFERROR(I22/每年的结果!L6,0)</f>
        <v>0.0186001885267977</v>
      </c>
      <c r="J23" s="31" t="n">
        <f aca="false">IFERROR(J22/每年的结果!N6,0)</f>
        <v>0.0199338529381602</v>
      </c>
      <c r="K23" s="31" t="n">
        <f aca="false">IFERROR(K22/每年的结果!P6,0)</f>
        <v>0.0249686904130609</v>
      </c>
    </row>
    <row r="24" customFormat="false" ht="55.5" hidden="false" customHeight="true" outlineLevel="0" collapsed="false">
      <c r="A24" s="17" t="s">
        <v>174</v>
      </c>
      <c r="B24" s="19" t="s">
        <v>175</v>
      </c>
      <c r="C24" s="19" t="s">
        <v>176</v>
      </c>
      <c r="D24" s="19" t="s">
        <v>177</v>
      </c>
      <c r="E24" s="22" t="s">
        <v>178</v>
      </c>
      <c r="F24" s="18" t="s">
        <v>179</v>
      </c>
      <c r="G24" s="19" t="s">
        <v>175</v>
      </c>
      <c r="H24" s="19" t="s">
        <v>176</v>
      </c>
      <c r="I24" s="19" t="s">
        <v>180</v>
      </c>
      <c r="J24" s="19" t="s">
        <v>181</v>
      </c>
      <c r="K24" s="19" t="s">
        <v>182</v>
      </c>
    </row>
    <row r="25" customFormat="false" ht="15" hidden="false" customHeight="true" outlineLevel="0" collapsed="false">
      <c r="A25" s="17" t="s">
        <v>183</v>
      </c>
      <c r="B25" s="29" t="n">
        <v>15</v>
      </c>
      <c r="C25" s="29" t="n">
        <v>18</v>
      </c>
      <c r="D25" s="29" t="n">
        <v>30</v>
      </c>
      <c r="E25" s="30" t="n">
        <v>30</v>
      </c>
      <c r="F25" s="19" t="s">
        <v>184</v>
      </c>
      <c r="G25" s="29" t="n">
        <v>11</v>
      </c>
      <c r="H25" s="29" t="n">
        <v>20</v>
      </c>
      <c r="I25" s="29" t="n">
        <v>30</v>
      </c>
      <c r="J25" s="29" t="n">
        <v>40</v>
      </c>
      <c r="K25" s="29" t="n">
        <v>45</v>
      </c>
    </row>
    <row r="26" customFormat="false" ht="15" hidden="false" customHeight="true" outlineLevel="0" collapsed="false">
      <c r="A26" s="15" t="s">
        <v>185</v>
      </c>
      <c r="B26" s="15"/>
      <c r="C26" s="15"/>
      <c r="D26" s="15"/>
      <c r="E26" s="15"/>
      <c r="F26" s="15"/>
      <c r="G26" s="16"/>
      <c r="H26" s="16"/>
      <c r="I26" s="16"/>
      <c r="J26" s="16"/>
    </row>
    <row r="27" customFormat="false" ht="15" hidden="false" customHeight="true" outlineLevel="0" collapsed="false">
      <c r="A27" s="17" t="s">
        <v>26</v>
      </c>
      <c r="B27" s="29" t="n">
        <v>1000</v>
      </c>
      <c r="C27" s="29" t="n">
        <v>1500</v>
      </c>
      <c r="D27" s="29" t="n">
        <v>2000</v>
      </c>
      <c r="E27" s="30" t="n">
        <v>2200</v>
      </c>
      <c r="F27" s="18" t="s">
        <v>186</v>
      </c>
      <c r="G27" s="29" t="n">
        <v>1000</v>
      </c>
      <c r="H27" s="29" t="n">
        <v>1500</v>
      </c>
      <c r="I27" s="29" t="n">
        <v>2250</v>
      </c>
      <c r="J27" s="29" t="n">
        <v>3050</v>
      </c>
      <c r="K27" s="29" t="n">
        <v>3450</v>
      </c>
    </row>
    <row r="28" customFormat="false" ht="15" hidden="false" customHeight="true" outlineLevel="0" collapsed="false">
      <c r="A28" s="17" t="s">
        <v>187</v>
      </c>
      <c r="B28" s="29" t="n">
        <v>1455</v>
      </c>
      <c r="C28" s="29" t="n">
        <v>1570</v>
      </c>
      <c r="D28" s="29" t="n">
        <v>1910</v>
      </c>
      <c r="E28" s="30" t="n">
        <v>2140</v>
      </c>
      <c r="F28" s="19" t="s">
        <v>188</v>
      </c>
      <c r="G28" s="29" t="n">
        <v>1095</v>
      </c>
      <c r="H28" s="29" t="n">
        <v>1540</v>
      </c>
      <c r="I28" s="29" t="n">
        <v>2300</v>
      </c>
      <c r="J28" s="29" t="n">
        <v>2810</v>
      </c>
      <c r="K28" s="29" t="n">
        <v>3090</v>
      </c>
    </row>
    <row r="29" customFormat="false" ht="15" hidden="false" customHeight="true" outlineLevel="0" collapsed="false">
      <c r="A29" s="17" t="s">
        <v>189</v>
      </c>
      <c r="B29" s="31" t="n">
        <f aca="false">IFERROR(B28/B27,0)</f>
        <v>1.455</v>
      </c>
      <c r="C29" s="31" t="n">
        <f aca="false">IFERROR(C28/C27,0)</f>
        <v>1.04666666666667</v>
      </c>
      <c r="D29" s="31" t="n">
        <f aca="false">IFERROR(D28/D27,0)</f>
        <v>0.955</v>
      </c>
      <c r="E29" s="32" t="n">
        <f aca="false">IFERROR(E28/E27,0)</f>
        <v>0.972727272727273</v>
      </c>
      <c r="F29" s="18" t="s">
        <v>190</v>
      </c>
      <c r="G29" s="31" t="n">
        <f aca="false">IFERROR(G28/G27,0)</f>
        <v>1.095</v>
      </c>
      <c r="H29" s="31" t="n">
        <f aca="false">IFERROR(H28/H27,0)</f>
        <v>1.02666666666667</v>
      </c>
      <c r="I29" s="31" t="n">
        <f aca="false">IFERROR(I28/I27,0)</f>
        <v>1.02222222222222</v>
      </c>
      <c r="J29" s="31" t="n">
        <f aca="false">IFERROR(J28/J27,0)</f>
        <v>0.921311475409836</v>
      </c>
      <c r="K29" s="31" t="n">
        <f aca="false">IFERROR(K28/K27,0)</f>
        <v>0.895652173913044</v>
      </c>
    </row>
    <row r="30" customFormat="false" ht="15" hidden="false" customHeight="true" outlineLevel="0" collapsed="false">
      <c r="A30" s="17" t="s">
        <v>191</v>
      </c>
      <c r="B30" s="29" t="n">
        <v>1544</v>
      </c>
      <c r="C30" s="29" t="n">
        <v>141</v>
      </c>
      <c r="D30" s="29" t="n">
        <v>0</v>
      </c>
      <c r="E30" s="30" t="n">
        <v>321</v>
      </c>
      <c r="F30" s="19" t="s">
        <v>192</v>
      </c>
      <c r="G30" s="29" t="n">
        <v>208</v>
      </c>
      <c r="H30" s="29" t="n">
        <v>79</v>
      </c>
      <c r="I30" s="29" t="n">
        <v>96</v>
      </c>
      <c r="J30" s="29" t="n">
        <v>0</v>
      </c>
      <c r="K30" s="29" t="n">
        <v>0</v>
      </c>
    </row>
    <row r="31" customFormat="false" ht="15" hidden="false" customHeight="true" outlineLevel="0" collapsed="false">
      <c r="A31" s="17" t="s">
        <v>193</v>
      </c>
      <c r="B31" s="19" t="s">
        <v>194</v>
      </c>
      <c r="C31" s="19" t="s">
        <v>195</v>
      </c>
      <c r="D31" s="19" t="s">
        <v>196</v>
      </c>
      <c r="E31" s="22" t="s">
        <v>197</v>
      </c>
      <c r="F31" s="18" t="s">
        <v>198</v>
      </c>
      <c r="G31" s="19" t="s">
        <v>194</v>
      </c>
      <c r="H31" s="19" t="s">
        <v>199</v>
      </c>
      <c r="I31" s="19" t="s">
        <v>200</v>
      </c>
      <c r="J31" s="19" t="s">
        <v>201</v>
      </c>
      <c r="K31" s="19" t="s">
        <v>202</v>
      </c>
    </row>
    <row r="32" customFormat="false" ht="15" hidden="false" customHeight="true" outlineLevel="0" collapsed="false">
      <c r="A32" s="15" t="s">
        <v>42</v>
      </c>
      <c r="B32" s="15"/>
      <c r="C32" s="15"/>
      <c r="D32" s="15"/>
      <c r="E32" s="15"/>
      <c r="F32" s="15"/>
      <c r="G32" s="16"/>
      <c r="H32" s="16"/>
      <c r="I32" s="16"/>
      <c r="J32" s="16"/>
    </row>
    <row r="33" customFormat="false" ht="109.5" hidden="false" customHeight="true" outlineLevel="0" collapsed="false">
      <c r="A33" s="17" t="s">
        <v>203</v>
      </c>
      <c r="B33" s="18" t="s">
        <v>204</v>
      </c>
      <c r="C33" s="18" t="s">
        <v>205</v>
      </c>
      <c r="D33" s="18" t="s">
        <v>206</v>
      </c>
      <c r="E33" s="22" t="s">
        <v>207</v>
      </c>
      <c r="F33" s="19" t="s">
        <v>208</v>
      </c>
      <c r="G33" s="18" t="s">
        <v>209</v>
      </c>
      <c r="H33" s="18" t="s">
        <v>210</v>
      </c>
      <c r="I33" s="18" t="s">
        <v>211</v>
      </c>
      <c r="J33" s="18" t="s">
        <v>212</v>
      </c>
      <c r="K33" s="18" t="s">
        <v>213</v>
      </c>
    </row>
    <row r="34" customFormat="false" ht="15" hidden="false" customHeight="true" outlineLevel="0" collapsed="false">
      <c r="A34" s="33" t="s">
        <v>50</v>
      </c>
      <c r="B34" s="33"/>
      <c r="C34" s="33"/>
      <c r="D34" s="33"/>
      <c r="E34" s="33"/>
      <c r="F34" s="33"/>
      <c r="G34" s="16"/>
      <c r="H34" s="16"/>
      <c r="I34" s="16"/>
      <c r="J34" s="16"/>
    </row>
    <row r="35" customFormat="false" ht="26.25" hidden="false" customHeight="true" outlineLevel="0" collapsed="false">
      <c r="A35" s="23" t="s">
        <v>214</v>
      </c>
      <c r="B35" s="18" t="s">
        <v>124</v>
      </c>
      <c r="C35" s="18" t="s">
        <v>124</v>
      </c>
      <c r="D35" s="18" t="s">
        <v>215</v>
      </c>
      <c r="E35" s="22" t="s">
        <v>215</v>
      </c>
      <c r="F35" s="18" t="s">
        <v>216</v>
      </c>
      <c r="G35" s="18" t="s">
        <v>215</v>
      </c>
      <c r="H35" s="18" t="s">
        <v>215</v>
      </c>
      <c r="I35" s="18" t="s">
        <v>215</v>
      </c>
      <c r="J35" s="18" t="s">
        <v>217</v>
      </c>
      <c r="K35" s="18" t="s">
        <v>218</v>
      </c>
    </row>
  </sheetData>
  <mergeCells count="8">
    <mergeCell ref="A2:F2"/>
    <mergeCell ref="A5:F5"/>
    <mergeCell ref="A7:F7"/>
    <mergeCell ref="A15:F15"/>
    <mergeCell ref="A21:F21"/>
    <mergeCell ref="A26:F26"/>
    <mergeCell ref="A32:F32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" width="23.94"/>
    <col collapsed="false" customWidth="true" hidden="false" outlineLevel="0" max="6" min="2" style="1" width="16.32"/>
    <col collapsed="false" customWidth="true" hidden="false" outlineLevel="0" max="7" min="7" style="1" width="54.41"/>
    <col collapsed="false" customWidth="true" hidden="false" outlineLevel="0" max="10" min="8" style="1" width="16.32"/>
    <col collapsed="false" customWidth="true" hidden="false" outlineLevel="0" max="16" min="11" style="1" width="13"/>
  </cols>
  <sheetData>
    <row r="1" customFormat="false" ht="17.25" hidden="false" customHeight="true" outlineLevel="0" collapsed="false">
      <c r="A1" s="2" t="s">
        <v>219</v>
      </c>
    </row>
    <row r="2" customFormat="false" ht="31.5" hidden="false" customHeight="true" outlineLevel="0" collapsed="false">
      <c r="A2" s="12" t="s">
        <v>220</v>
      </c>
      <c r="B2" s="12"/>
      <c r="C2" s="12"/>
      <c r="D2" s="12"/>
      <c r="E2" s="12"/>
      <c r="F2" s="12"/>
      <c r="G2" s="12"/>
    </row>
    <row r="4" customFormat="false" ht="15" hidden="false" customHeight="true" outlineLevel="0" collapsed="false">
      <c r="A4" s="13" t="s">
        <v>221</v>
      </c>
      <c r="B4" s="14" t="s">
        <v>70</v>
      </c>
      <c r="C4" s="14" t="s">
        <v>71</v>
      </c>
      <c r="D4" s="14" t="s">
        <v>72</v>
      </c>
      <c r="E4" s="14" t="s">
        <v>73</v>
      </c>
      <c r="F4" s="14" t="s">
        <v>222</v>
      </c>
      <c r="G4" s="13" t="s">
        <v>223</v>
      </c>
      <c r="H4" s="13" t="s">
        <v>224</v>
      </c>
      <c r="I4" s="13" t="s">
        <v>225</v>
      </c>
      <c r="J4" s="13" t="s">
        <v>226</v>
      </c>
      <c r="K4" s="13" t="s">
        <v>227</v>
      </c>
      <c r="L4" s="13" t="s">
        <v>228</v>
      </c>
      <c r="M4" s="13" t="s">
        <v>229</v>
      </c>
      <c r="N4" s="13" t="s">
        <v>230</v>
      </c>
      <c r="O4" s="13" t="s">
        <v>231</v>
      </c>
      <c r="P4" s="13" t="s">
        <v>232</v>
      </c>
    </row>
    <row r="5" customFormat="false" ht="15" hidden="false" customHeight="true" outlineLevel="0" collapsed="false">
      <c r="A5" s="17" t="s">
        <v>233</v>
      </c>
      <c r="B5" s="34" t="n">
        <v>679</v>
      </c>
      <c r="C5" s="34" t="n">
        <v>1165</v>
      </c>
      <c r="D5" s="34" t="n">
        <v>2999</v>
      </c>
      <c r="E5" s="35" t="n">
        <v>5265</v>
      </c>
      <c r="F5" s="34" t="n">
        <v>1201</v>
      </c>
      <c r="G5" s="18" t="s">
        <v>234</v>
      </c>
      <c r="H5" s="34" t="n">
        <v>1318</v>
      </c>
      <c r="I5" s="34" t="n">
        <v>1237</v>
      </c>
      <c r="J5" s="34" t="n">
        <v>2663</v>
      </c>
      <c r="K5" s="34" t="n">
        <v>2945</v>
      </c>
      <c r="L5" s="34" t="n">
        <v>9680</v>
      </c>
      <c r="M5" s="34" t="n">
        <v>9242</v>
      </c>
      <c r="N5" s="34" t="n">
        <v>15262</v>
      </c>
      <c r="O5" s="34" t="n">
        <v>15578</v>
      </c>
      <c r="P5" s="34" t="n">
        <v>18251</v>
      </c>
    </row>
    <row r="6" customFormat="false" ht="15" hidden="false" customHeight="true" outlineLevel="0" collapsed="false">
      <c r="A6" s="17" t="s">
        <v>235</v>
      </c>
      <c r="B6" s="34" t="n">
        <v>24314</v>
      </c>
      <c r="C6" s="34" t="n">
        <v>24333</v>
      </c>
      <c r="D6" s="34" t="n">
        <v>38281</v>
      </c>
      <c r="E6" s="35" t="n">
        <v>52013</v>
      </c>
      <c r="F6" s="36" t="s">
        <v>124</v>
      </c>
      <c r="G6" s="18" t="s">
        <v>236</v>
      </c>
      <c r="H6" s="34" t="n">
        <v>22925</v>
      </c>
      <c r="I6" s="34" t="n">
        <v>21931</v>
      </c>
      <c r="J6" s="34" t="n">
        <v>30052</v>
      </c>
      <c r="K6" s="34" t="n">
        <v>32507</v>
      </c>
      <c r="L6" s="34" t="n">
        <v>59408</v>
      </c>
      <c r="M6" s="34" t="n">
        <v>58444</v>
      </c>
      <c r="N6" s="34" t="n">
        <v>78008</v>
      </c>
      <c r="O6" s="34" t="n">
        <v>79035</v>
      </c>
      <c r="P6" s="34" t="n">
        <v>88631</v>
      </c>
    </row>
    <row r="7" customFormat="false" ht="15" hidden="false" customHeight="true" outlineLevel="0" collapsed="false">
      <c r="A7" s="17" t="s">
        <v>237</v>
      </c>
      <c r="B7" s="37" t="n">
        <f aca="false">IFERROR(B5/B6,0)</f>
        <v>0.0279262976063174</v>
      </c>
      <c r="C7" s="37" t="n">
        <f aca="false">IFERROR(C5/C6,0)</f>
        <v>0.0478773681831258</v>
      </c>
      <c r="D7" s="37" t="n">
        <f aca="false">IFERROR(D5/D6,0)</f>
        <v>0.078341736109297</v>
      </c>
      <c r="E7" s="38" t="n">
        <f aca="false">IFERROR(E5/E6,0)</f>
        <v>0.101224693826543</v>
      </c>
      <c r="F7" s="39" t="s">
        <v>124</v>
      </c>
      <c r="G7" s="18" t="s">
        <v>238</v>
      </c>
      <c r="H7" s="37" t="n">
        <f aca="false">IFERROR(H5/H6,0)</f>
        <v>0.0574918211559433</v>
      </c>
      <c r="I7" s="37" t="n">
        <f aca="false">IFERROR(I5/I6,0)</f>
        <v>0.0564041767361269</v>
      </c>
      <c r="J7" s="37" t="n">
        <f aca="false">IFERROR(J5/J6,0)</f>
        <v>0.0886130706774923</v>
      </c>
      <c r="K7" s="37" t="n">
        <f aca="false">IFERROR(K5/K6,0)</f>
        <v>0.090595871658412</v>
      </c>
      <c r="L7" s="37" t="n">
        <f aca="false">IFERROR(L5/L6,0)</f>
        <v>0.162941018044708</v>
      </c>
      <c r="M7" s="37" t="n">
        <f aca="false">IFERROR(M5/M6,0)</f>
        <v>0.15813428238998</v>
      </c>
      <c r="N7" s="37" t="n">
        <f aca="false">IFERROR(N5/N6,0)</f>
        <v>0.195646600348682</v>
      </c>
      <c r="O7" s="37" t="n">
        <f aca="false">IFERROR(O5/O6,0)</f>
        <v>0.197102549503385</v>
      </c>
      <c r="P7" s="37" t="n">
        <f aca="false">IFERROR(P5/P6,0)</f>
        <v>0.205921178820052</v>
      </c>
    </row>
    <row r="8" customFormat="false" ht="15" hidden="false" customHeight="true" outlineLevel="0" collapsed="false">
      <c r="A8" s="17" t="s">
        <v>239</v>
      </c>
      <c r="B8" s="36" t="n">
        <f aca="false">F5+B5</f>
        <v>1880</v>
      </c>
      <c r="C8" s="36" t="n">
        <f aca="false">B8+C5</f>
        <v>3045</v>
      </c>
      <c r="D8" s="36" t="n">
        <f aca="false">C8+D5</f>
        <v>6044</v>
      </c>
      <c r="E8" s="35" t="n">
        <f aca="false">D8+E5</f>
        <v>11309</v>
      </c>
      <c r="F8" s="36" t="s">
        <v>124</v>
      </c>
      <c r="G8" s="18" t="s">
        <v>240</v>
      </c>
      <c r="H8" s="36" t="n">
        <f aca="false">F5+H5</f>
        <v>2519</v>
      </c>
      <c r="I8" s="36" t="s">
        <v>124</v>
      </c>
      <c r="J8" s="36" t="s">
        <v>124</v>
      </c>
      <c r="K8" s="36" t="n">
        <f aca="false">H8+K5</f>
        <v>5464</v>
      </c>
      <c r="L8" s="36" t="s">
        <v>124</v>
      </c>
      <c r="M8" s="36" t="n">
        <f aca="false">K8+M5</f>
        <v>14706</v>
      </c>
      <c r="N8" s="36" t="s">
        <v>124</v>
      </c>
      <c r="O8" s="36" t="n">
        <f aca="false">M8+O5</f>
        <v>30284</v>
      </c>
      <c r="P8" s="36" t="s">
        <v>124</v>
      </c>
    </row>
    <row r="9" customFormat="false" ht="15" hidden="false" customHeight="true" outlineLevel="0" collapsed="false">
      <c r="A9" s="23" t="s">
        <v>241</v>
      </c>
      <c r="B9" s="36" t="s">
        <v>124</v>
      </c>
      <c r="C9" s="36" t="n">
        <v>1857</v>
      </c>
      <c r="D9" s="36" t="n">
        <v>3694</v>
      </c>
      <c r="E9" s="35" t="n">
        <v>4665</v>
      </c>
      <c r="F9" s="36" t="s">
        <v>124</v>
      </c>
      <c r="G9" s="18" t="s">
        <v>242</v>
      </c>
      <c r="H9" s="36" t="n">
        <v>1237</v>
      </c>
      <c r="I9" s="36" t="s">
        <v>124</v>
      </c>
      <c r="J9" s="36" t="s">
        <v>124</v>
      </c>
      <c r="K9" s="36" t="n">
        <v>2663</v>
      </c>
      <c r="L9" s="36" t="s">
        <v>124</v>
      </c>
      <c r="M9" s="36" t="n">
        <v>9680</v>
      </c>
      <c r="N9" s="36" t="s">
        <v>124</v>
      </c>
      <c r="O9" s="36" t="n">
        <v>15262</v>
      </c>
      <c r="P9" s="36" t="s">
        <v>124</v>
      </c>
    </row>
    <row r="10" customFormat="false" ht="15" hidden="false" customHeight="true" outlineLevel="0" collapsed="false">
      <c r="A10" s="17" t="s">
        <v>243</v>
      </c>
      <c r="B10" s="36" t="s">
        <v>124</v>
      </c>
      <c r="C10" s="36" t="n">
        <f aca="false">C5-C9</f>
        <v>-692</v>
      </c>
      <c r="D10" s="36" t="n">
        <f aca="false">D5-D9</f>
        <v>-695</v>
      </c>
      <c r="E10" s="40" t="n">
        <f aca="false">E5-E9</f>
        <v>600</v>
      </c>
      <c r="F10" s="36" t="s">
        <v>124</v>
      </c>
      <c r="G10" s="18" t="s">
        <v>244</v>
      </c>
      <c r="H10" s="36" t="n">
        <f aca="false">H5-H9</f>
        <v>81</v>
      </c>
      <c r="I10" s="36" t="s">
        <v>124</v>
      </c>
      <c r="J10" s="36" t="s">
        <v>124</v>
      </c>
      <c r="K10" s="36" t="n">
        <f aca="false">K5-K9</f>
        <v>282</v>
      </c>
      <c r="L10" s="36" t="s">
        <v>124</v>
      </c>
      <c r="M10" s="36" t="n">
        <f aca="false">M5-M9</f>
        <v>-438</v>
      </c>
      <c r="N10" s="36" t="s">
        <v>124</v>
      </c>
      <c r="O10" s="36" t="n">
        <f aca="false">O5-O9</f>
        <v>316</v>
      </c>
      <c r="P10" s="36" t="s">
        <v>124</v>
      </c>
    </row>
    <row r="11" customFormat="false" ht="15" hidden="false" customHeight="true" outlineLevel="0" collapsed="false">
      <c r="A11" s="17" t="s">
        <v>245</v>
      </c>
      <c r="B11" s="41" t="n">
        <v>35.16</v>
      </c>
      <c r="C11" s="41" t="n">
        <v>39.25</v>
      </c>
      <c r="D11" s="41" t="n">
        <v>66.38</v>
      </c>
      <c r="E11" s="42" t="n">
        <v>90.71</v>
      </c>
      <c r="F11" s="41" t="n">
        <v>35.26</v>
      </c>
      <c r="G11" s="19" t="s">
        <v>246</v>
      </c>
      <c r="H11" s="43" t="n">
        <v>38.18</v>
      </c>
      <c r="I11" s="44" t="s">
        <v>124</v>
      </c>
      <c r="J11" s="44" t="s">
        <v>124</v>
      </c>
      <c r="K11" s="44" t="n">
        <v>55.09</v>
      </c>
      <c r="L11" s="44" t="s">
        <v>124</v>
      </c>
      <c r="M11" s="44" t="n">
        <v>104.63</v>
      </c>
      <c r="N11" s="44" t="s">
        <v>124</v>
      </c>
      <c r="O11" s="44" t="n">
        <v>156.75</v>
      </c>
      <c r="P11" s="44" t="s">
        <v>124</v>
      </c>
    </row>
    <row r="12" customFormat="false" ht="15" hidden="false" customHeight="true" outlineLevel="0" collapsed="false">
      <c r="A12" s="17" t="s">
        <v>247</v>
      </c>
      <c r="B12" s="36" t="n">
        <v>17600</v>
      </c>
      <c r="C12" s="36" t="n">
        <v>19625</v>
      </c>
      <c r="D12" s="36" t="n">
        <v>37418</v>
      </c>
      <c r="E12" s="40" t="n">
        <v>61354</v>
      </c>
      <c r="F12" s="36" t="s">
        <v>124</v>
      </c>
      <c r="G12" s="18" t="s">
        <v>248</v>
      </c>
      <c r="H12" s="36" t="n">
        <v>22908</v>
      </c>
      <c r="I12" s="36" t="s">
        <v>124</v>
      </c>
      <c r="J12" s="36" t="s">
        <v>124</v>
      </c>
      <c r="K12" s="36" t="n">
        <v>39664</v>
      </c>
      <c r="L12" s="36" t="s">
        <v>124</v>
      </c>
      <c r="M12" s="36" t="n">
        <v>75332</v>
      </c>
      <c r="N12" s="36" t="s">
        <v>124</v>
      </c>
      <c r="O12" s="36" t="n">
        <v>112857</v>
      </c>
      <c r="P12" s="36" t="s">
        <v>124</v>
      </c>
    </row>
    <row r="13" customFormat="false" ht="15" hidden="false" customHeight="true" outlineLevel="0" collapsed="false">
      <c r="A13" s="23" t="s">
        <v>249</v>
      </c>
      <c r="B13" s="39" t="n">
        <v>0.118</v>
      </c>
      <c r="C13" s="39" t="n">
        <v>0.108</v>
      </c>
      <c r="D13" s="39" t="n">
        <v>0.204</v>
      </c>
      <c r="E13" s="45" t="n">
        <v>0.338</v>
      </c>
      <c r="F13" s="39" t="n">
        <v>0.143</v>
      </c>
      <c r="G13" s="18" t="s">
        <v>250</v>
      </c>
      <c r="H13" s="39" t="n">
        <v>0.124</v>
      </c>
      <c r="I13" s="39" t="s">
        <v>124</v>
      </c>
      <c r="J13" s="39" t="s">
        <v>124</v>
      </c>
      <c r="K13" s="39" t="n">
        <v>0.194</v>
      </c>
      <c r="L13" s="39" t="s">
        <v>124</v>
      </c>
      <c r="M13" s="39" t="n">
        <v>0.225</v>
      </c>
      <c r="N13" s="39" t="s">
        <v>124</v>
      </c>
      <c r="O13" s="39" t="n">
        <v>0.257</v>
      </c>
      <c r="P13" s="39" t="s">
        <v>124</v>
      </c>
    </row>
    <row r="14" customFormat="false" ht="15" hidden="false" customHeight="true" outlineLevel="0" collapsed="false">
      <c r="A14" s="17" t="s">
        <v>251</v>
      </c>
      <c r="B14" s="46" t="n">
        <v>34</v>
      </c>
      <c r="C14" s="46" t="n">
        <v>60</v>
      </c>
      <c r="D14" s="46" t="n">
        <v>60</v>
      </c>
      <c r="E14" s="47" t="n">
        <v>0</v>
      </c>
      <c r="F14" s="48" t="s">
        <v>124</v>
      </c>
      <c r="G14" s="18" t="s">
        <v>252</v>
      </c>
      <c r="H14" s="46" t="n">
        <v>2</v>
      </c>
      <c r="I14" s="46" t="n">
        <v>2</v>
      </c>
      <c r="J14" s="46" t="n">
        <v>1</v>
      </c>
      <c r="K14" s="46" t="n">
        <v>0</v>
      </c>
      <c r="L14" s="46" t="n">
        <v>0</v>
      </c>
      <c r="M14" s="46" t="n">
        <v>10</v>
      </c>
      <c r="N14" s="46" t="n">
        <v>0</v>
      </c>
      <c r="O14" s="46" t="n">
        <v>9</v>
      </c>
      <c r="P14" s="46" t="n">
        <v>0</v>
      </c>
    </row>
    <row r="15" customFormat="false" ht="15" hidden="false" customHeight="true" outlineLevel="0" collapsed="false">
      <c r="A15" s="17" t="s">
        <v>253</v>
      </c>
      <c r="B15" s="36" t="n">
        <v>448</v>
      </c>
      <c r="C15" s="36" t="n">
        <v>243</v>
      </c>
      <c r="D15" s="36" t="n">
        <v>383</v>
      </c>
      <c r="E15" s="40" t="n">
        <v>8783</v>
      </c>
      <c r="F15" s="36" t="n">
        <v>2093</v>
      </c>
      <c r="G15" s="18" t="s">
        <v>254</v>
      </c>
      <c r="H15" s="36" t="n">
        <v>1332</v>
      </c>
      <c r="I15" s="36" t="n">
        <v>1268</v>
      </c>
      <c r="J15" s="36" t="n">
        <v>1024</v>
      </c>
      <c r="K15" s="36" t="n">
        <v>1400</v>
      </c>
      <c r="L15" s="36" t="n">
        <v>3959</v>
      </c>
      <c r="M15" s="36" t="n">
        <v>2332</v>
      </c>
      <c r="N15" s="36" t="n">
        <v>9274</v>
      </c>
      <c r="O15" s="36" t="n">
        <v>8564</v>
      </c>
      <c r="P15" s="36" t="n">
        <v>24502</v>
      </c>
    </row>
    <row r="16" customFormat="false" ht="15" hidden="false" customHeight="true" outlineLevel="0" collapsed="false">
      <c r="A16" s="17" t="s">
        <v>255</v>
      </c>
      <c r="B16" s="49" t="s">
        <v>124</v>
      </c>
      <c r="C16" s="49" t="n">
        <v>9992</v>
      </c>
      <c r="D16" s="49" t="n">
        <v>8251</v>
      </c>
      <c r="E16" s="50" t="n">
        <v>0</v>
      </c>
      <c r="F16" s="49" t="s">
        <v>124</v>
      </c>
      <c r="G16" s="18" t="s">
        <v>256</v>
      </c>
      <c r="H16" s="49" t="n">
        <v>2660</v>
      </c>
      <c r="I16" s="49" t="n">
        <v>2660</v>
      </c>
      <c r="J16" s="49" t="n">
        <v>0</v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selection pane="top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50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60"/>
  </cols>
  <sheetData>
    <row r="1" customFormat="false" ht="17.25" hidden="false" customHeight="true" outlineLevel="0" collapsed="false">
      <c r="A1" s="2" t="s">
        <v>257</v>
      </c>
    </row>
    <row r="2" customFormat="false" ht="77.25" hidden="false" customHeight="true" outlineLevel="0" collapsed="false">
      <c r="A2" s="51" t="s">
        <v>258</v>
      </c>
    </row>
    <row r="4" customFormat="false" ht="26.25" hidden="false" customHeight="true" outlineLevel="0" collapsed="false">
      <c r="A4" s="52" t="s">
        <v>259</v>
      </c>
    </row>
    <row r="5" customFormat="false" ht="15" hidden="false" customHeight="true" outlineLevel="0" collapsed="false">
      <c r="A5" s="13" t="s">
        <v>2</v>
      </c>
      <c r="B5" s="13" t="s">
        <v>260</v>
      </c>
      <c r="C5" s="13" t="s">
        <v>261</v>
      </c>
      <c r="D5" s="13" t="s">
        <v>262</v>
      </c>
      <c r="E5" s="13" t="s">
        <v>263</v>
      </c>
      <c r="F5" s="13" t="s">
        <v>264</v>
      </c>
    </row>
    <row r="6" customFormat="false" ht="26.25" hidden="false" customHeight="true" outlineLevel="0" collapsed="false">
      <c r="A6" s="18" t="s">
        <v>265</v>
      </c>
      <c r="B6" s="18" t="s">
        <v>266</v>
      </c>
      <c r="C6" s="53" t="n">
        <v>10100</v>
      </c>
      <c r="D6" s="53" t="n">
        <v>8961</v>
      </c>
      <c r="E6" s="54" t="n">
        <f aca="false">D6-C6</f>
        <v>-1139</v>
      </c>
      <c r="F6" s="18" t="s">
        <v>267</v>
      </c>
    </row>
    <row r="7" customFormat="false" ht="15" hidden="false" customHeight="true" outlineLevel="0" collapsed="false">
      <c r="A7" s="21" t="s">
        <v>268</v>
      </c>
      <c r="B7" s="21" t="s">
        <v>269</v>
      </c>
      <c r="C7" s="55" t="n">
        <v>0.053</v>
      </c>
      <c r="D7" s="55" t="n">
        <v>0.06</v>
      </c>
      <c r="E7" s="56" t="n">
        <f aca="false">D7-C7</f>
        <v>0.007</v>
      </c>
      <c r="F7" s="21" t="s">
        <v>270</v>
      </c>
    </row>
    <row r="8" customFormat="false" ht="15" hidden="false" customHeight="true" outlineLevel="0" collapsed="false">
      <c r="A8" s="21" t="s">
        <v>271</v>
      </c>
      <c r="B8" s="21" t="s">
        <v>272</v>
      </c>
      <c r="C8" s="55" t="n">
        <v>0.041</v>
      </c>
      <c r="D8" s="55" t="n">
        <v>0.049</v>
      </c>
      <c r="E8" s="56" t="n">
        <f aca="false">D8-C8</f>
        <v>0.008</v>
      </c>
      <c r="F8" s="18" t="s">
        <v>273</v>
      </c>
    </row>
    <row r="9" customFormat="false" ht="15" hidden="false" customHeight="true" outlineLevel="0" collapsed="false">
      <c r="A9" s="21" t="s">
        <v>274</v>
      </c>
      <c r="B9" s="21" t="s">
        <v>275</v>
      </c>
      <c r="C9" s="55" t="n">
        <v>0.029</v>
      </c>
      <c r="D9" s="55" t="n">
        <v>0.034</v>
      </c>
      <c r="E9" s="56" t="n">
        <f aca="false">D9-C9</f>
        <v>0.005</v>
      </c>
      <c r="F9" s="18" t="s">
        <v>276</v>
      </c>
    </row>
    <row r="10" customFormat="false" ht="15" hidden="false" customHeight="true" outlineLevel="0" collapsed="false">
      <c r="A10" s="18" t="s">
        <v>277</v>
      </c>
      <c r="B10" s="18" t="s">
        <v>278</v>
      </c>
      <c r="C10" s="53" t="n">
        <v>1230</v>
      </c>
      <c r="D10" s="53" t="n">
        <v>1287</v>
      </c>
      <c r="E10" s="54" t="n">
        <f aca="false">D10-C10</f>
        <v>57</v>
      </c>
      <c r="F10" s="18" t="s">
        <v>279</v>
      </c>
    </row>
    <row r="11" customFormat="false" ht="15" hidden="false" customHeight="true" outlineLevel="0" collapsed="false">
      <c r="A11" s="21" t="s">
        <v>280</v>
      </c>
      <c r="B11" s="18" t="s">
        <v>278</v>
      </c>
      <c r="C11" s="53" t="n">
        <v>530</v>
      </c>
      <c r="D11" s="53" t="n">
        <v>541</v>
      </c>
      <c r="E11" s="54" t="n">
        <f aca="false">D11-C11</f>
        <v>11</v>
      </c>
      <c r="F11" s="18" t="s">
        <v>281</v>
      </c>
    </row>
    <row r="12" customFormat="false" ht="15" hidden="false" customHeight="true" outlineLevel="0" collapsed="false">
      <c r="A12" s="21" t="s">
        <v>282</v>
      </c>
      <c r="B12" s="18" t="s">
        <v>278</v>
      </c>
      <c r="C12" s="53" t="n">
        <v>410</v>
      </c>
      <c r="D12" s="53" t="n">
        <v>440</v>
      </c>
      <c r="E12" s="54" t="n">
        <f aca="false">D12-C12</f>
        <v>30</v>
      </c>
      <c r="F12" s="18" t="s">
        <v>281</v>
      </c>
    </row>
    <row r="13" customFormat="false" ht="15" hidden="false" customHeight="true" outlineLevel="0" collapsed="false">
      <c r="A13" s="21" t="s">
        <v>283</v>
      </c>
      <c r="B13" s="18" t="s">
        <v>278</v>
      </c>
      <c r="C13" s="53" t="n">
        <v>290</v>
      </c>
      <c r="D13" s="53" t="n">
        <v>306</v>
      </c>
      <c r="E13" s="54" t="n">
        <f aca="false">D13-C13</f>
        <v>16</v>
      </c>
      <c r="F13" s="18" t="s">
        <v>281</v>
      </c>
    </row>
    <row r="14" customFormat="false" ht="15" hidden="false" customHeight="true" outlineLevel="0" collapsed="false">
      <c r="A14" s="18" t="s">
        <v>284</v>
      </c>
      <c r="B14" s="18" t="s">
        <v>285</v>
      </c>
      <c r="C14" s="53" t="n">
        <v>1116</v>
      </c>
      <c r="D14" s="53" t="n">
        <v>1174</v>
      </c>
      <c r="E14" s="54" t="n">
        <f aca="false">D14-C14</f>
        <v>58</v>
      </c>
      <c r="F14" s="21" t="s">
        <v>286</v>
      </c>
    </row>
    <row r="15" customFormat="false" ht="26.25" hidden="false" customHeight="true" outlineLevel="0" collapsed="false">
      <c r="A15" s="18" t="s">
        <v>287</v>
      </c>
      <c r="B15" s="21" t="s">
        <v>288</v>
      </c>
      <c r="C15" s="53" t="n">
        <v>260</v>
      </c>
      <c r="D15" s="53" t="n">
        <v>421</v>
      </c>
      <c r="E15" s="54" t="n">
        <f aca="false">D15-C15</f>
        <v>161</v>
      </c>
      <c r="F15" s="21" t="s">
        <v>289</v>
      </c>
    </row>
    <row r="16" customFormat="false" ht="15" hidden="false" customHeight="true" outlineLevel="0" collapsed="false">
      <c r="A16" s="18" t="s">
        <v>290</v>
      </c>
      <c r="B16" s="21" t="s">
        <v>291</v>
      </c>
      <c r="C16" s="53" t="n">
        <v>21931</v>
      </c>
      <c r="D16" s="53" t="n">
        <v>22925</v>
      </c>
      <c r="E16" s="54" t="n">
        <f aca="false">D16-C16</f>
        <v>994</v>
      </c>
      <c r="F16" s="18" t="s">
        <v>292</v>
      </c>
    </row>
    <row r="17" customFormat="false" ht="15" hidden="false" customHeight="true" outlineLevel="0" collapsed="false">
      <c r="A17" s="21" t="s">
        <v>293</v>
      </c>
      <c r="B17" s="21" t="s">
        <v>291</v>
      </c>
      <c r="C17" s="53" t="n">
        <v>16832</v>
      </c>
      <c r="D17" s="53" t="n">
        <v>17679</v>
      </c>
      <c r="E17" s="54" t="n">
        <f aca="false">D17-C17</f>
        <v>847</v>
      </c>
      <c r="F17" s="18" t="s">
        <v>294</v>
      </c>
    </row>
    <row r="18" customFormat="false" ht="15" hidden="false" customHeight="true" outlineLevel="0" collapsed="false">
      <c r="A18" s="18" t="s">
        <v>295</v>
      </c>
      <c r="B18" s="21" t="s">
        <v>291</v>
      </c>
      <c r="C18" s="55" t="n">
        <v>0.232</v>
      </c>
      <c r="D18" s="55" t="n">
        <v>0.229</v>
      </c>
      <c r="E18" s="56" t="n">
        <f aca="false">D18-C18</f>
        <v>-0.003</v>
      </c>
      <c r="F18" s="18" t="s">
        <v>296</v>
      </c>
    </row>
    <row r="19" customFormat="false" ht="15" hidden="false" customHeight="true" outlineLevel="0" collapsed="false">
      <c r="A19" s="21" t="s">
        <v>297</v>
      </c>
      <c r="B19" s="21" t="s">
        <v>291</v>
      </c>
      <c r="C19" s="53" t="n">
        <v>971</v>
      </c>
      <c r="D19" s="53" t="n">
        <v>994</v>
      </c>
      <c r="E19" s="54" t="n">
        <f aca="false">D19-C19</f>
        <v>23</v>
      </c>
      <c r="F19" s="21" t="s">
        <v>298</v>
      </c>
    </row>
    <row r="20" customFormat="false" ht="15" hidden="false" customHeight="true" outlineLevel="0" collapsed="false">
      <c r="A20" s="18" t="s">
        <v>299</v>
      </c>
      <c r="B20" s="21" t="s">
        <v>291</v>
      </c>
      <c r="C20" s="53" t="n">
        <v>1237</v>
      </c>
      <c r="D20" s="53" t="n">
        <v>1318</v>
      </c>
      <c r="E20" s="54" t="n">
        <f aca="false">D20-C20</f>
        <v>81</v>
      </c>
      <c r="F20" s="18" t="s">
        <v>300</v>
      </c>
    </row>
    <row r="21" customFormat="false" ht="15" hidden="false" customHeight="true" outlineLevel="0" collapsed="false">
      <c r="A21" s="18" t="s">
        <v>301</v>
      </c>
      <c r="B21" s="21" t="s">
        <v>291</v>
      </c>
      <c r="C21" s="53" t="n">
        <v>1268</v>
      </c>
      <c r="D21" s="53" t="n">
        <v>1332</v>
      </c>
      <c r="E21" s="54" t="n">
        <f aca="false">D21-C21</f>
        <v>64</v>
      </c>
      <c r="F21" s="18" t="s">
        <v>302</v>
      </c>
    </row>
    <row r="22" customFormat="false" ht="15" hidden="false" customHeight="true" outlineLevel="0" collapsed="false">
      <c r="A22" s="18" t="s">
        <v>303</v>
      </c>
      <c r="B22" s="21" t="s">
        <v>291</v>
      </c>
      <c r="C22" s="53" t="n">
        <v>7</v>
      </c>
      <c r="D22" s="53" t="n">
        <v>8</v>
      </c>
      <c r="E22" s="54" t="n">
        <f aca="false">D22-C22</f>
        <v>1</v>
      </c>
      <c r="F22" s="18" t="s">
        <v>304</v>
      </c>
    </row>
    <row r="23" customFormat="false" ht="15" hidden="false" customHeight="true" outlineLevel="0" collapsed="false">
      <c r="A23" s="18" t="s">
        <v>305</v>
      </c>
      <c r="B23" s="18" t="s">
        <v>306</v>
      </c>
      <c r="C23" s="18" t="s">
        <v>124</v>
      </c>
      <c r="D23" s="57" t="n">
        <v>38.18</v>
      </c>
      <c r="E23" s="18" t="s">
        <v>124</v>
      </c>
      <c r="F23" s="18" t="s">
        <v>307</v>
      </c>
    </row>
    <row r="24" customFormat="false" ht="15" hidden="false" customHeight="true" outlineLevel="0" collapsed="false">
      <c r="A24" s="21" t="s">
        <v>249</v>
      </c>
      <c r="B24" s="18" t="s">
        <v>308</v>
      </c>
      <c r="C24" s="18" t="s">
        <v>309</v>
      </c>
      <c r="D24" s="55" t="n">
        <v>0.124</v>
      </c>
      <c r="E24" s="21" t="s">
        <v>310</v>
      </c>
      <c r="F24" s="21" t="s">
        <v>311</v>
      </c>
    </row>
    <row r="26" customFormat="false" ht="26.25" hidden="false" customHeight="true" outlineLevel="0" collapsed="false">
      <c r="A26" s="52" t="s">
        <v>312</v>
      </c>
    </row>
    <row r="27" customFormat="false" ht="15" hidden="false" customHeight="true" outlineLevel="0" collapsed="false">
      <c r="A27" s="13" t="s">
        <v>2</v>
      </c>
      <c r="B27" s="52" t="s">
        <v>313</v>
      </c>
      <c r="C27" s="52" t="s">
        <v>70</v>
      </c>
      <c r="D27" s="13" t="s">
        <v>314</v>
      </c>
      <c r="E27" s="13" t="s">
        <v>264</v>
      </c>
    </row>
    <row r="28" customFormat="false" ht="77.25" hidden="false" customHeight="true" outlineLevel="0" collapsed="false">
      <c r="A28" s="18" t="s">
        <v>290</v>
      </c>
      <c r="B28" s="53" t="n">
        <v>23828</v>
      </c>
      <c r="C28" s="53" t="n">
        <v>22925</v>
      </c>
      <c r="D28" s="56" t="n">
        <f aca="false">IFERROR((C28-B28)/B28,"—")</f>
        <v>-0.0378965922444183</v>
      </c>
      <c r="E28" s="18" t="s">
        <v>315</v>
      </c>
    </row>
    <row r="29" customFormat="false" ht="39" hidden="false" customHeight="true" outlineLevel="0" collapsed="false">
      <c r="A29" s="21" t="s">
        <v>293</v>
      </c>
      <c r="B29" s="53" t="n">
        <v>20319</v>
      </c>
      <c r="C29" s="53" t="n">
        <v>17679</v>
      </c>
      <c r="D29" s="56" t="n">
        <f aca="false">IFERROR((C29-B29)/B29,"—")</f>
        <v>-0.129927653919976</v>
      </c>
      <c r="E29" s="18" t="s">
        <v>316</v>
      </c>
    </row>
    <row r="30" customFormat="false" ht="26.25" hidden="false" customHeight="true" outlineLevel="0" collapsed="false">
      <c r="A30" s="18" t="s">
        <v>295</v>
      </c>
      <c r="B30" s="55" t="n">
        <v>0.147</v>
      </c>
      <c r="C30" s="55" t="n">
        <v>0.229</v>
      </c>
      <c r="D30" s="56" t="n">
        <f aca="false">C30-B30</f>
        <v>0.082</v>
      </c>
      <c r="E30" s="18" t="s">
        <v>317</v>
      </c>
    </row>
    <row r="31" customFormat="false" ht="77.25" hidden="false" customHeight="true" outlineLevel="0" collapsed="false">
      <c r="A31" s="18" t="s">
        <v>318</v>
      </c>
      <c r="B31" s="53" t="n">
        <v>215</v>
      </c>
      <c r="C31" s="53" t="n">
        <v>395</v>
      </c>
      <c r="D31" s="56" t="n">
        <f aca="false">IFERROR((C31-B31)/B31,"—")</f>
        <v>0.837209302325581</v>
      </c>
      <c r="E31" s="18" t="s">
        <v>319</v>
      </c>
    </row>
    <row r="32" customFormat="false" ht="102.75" hidden="false" customHeight="true" outlineLevel="0" collapsed="false">
      <c r="A32" s="18" t="s">
        <v>320</v>
      </c>
      <c r="B32" s="53" t="n">
        <v>0</v>
      </c>
      <c r="C32" s="53" t="n">
        <v>1627</v>
      </c>
      <c r="D32" s="56" t="str">
        <f aca="false">IFERROR((C32-B32)/B32,"—")</f>
        <v>—</v>
      </c>
      <c r="E32" s="21" t="s">
        <v>321</v>
      </c>
    </row>
    <row r="33" customFormat="false" ht="39" hidden="false" customHeight="true" outlineLevel="0" collapsed="false">
      <c r="A33" s="21" t="s">
        <v>297</v>
      </c>
      <c r="B33" s="53" t="n">
        <v>948</v>
      </c>
      <c r="C33" s="53" t="n">
        <v>994</v>
      </c>
      <c r="D33" s="56" t="n">
        <f aca="false">IFERROR((C33-B33)/B33,"—")</f>
        <v>0.0485232067510549</v>
      </c>
      <c r="E33" s="18" t="s">
        <v>322</v>
      </c>
    </row>
    <row r="34" customFormat="false" ht="51.75" hidden="false" customHeight="true" outlineLevel="0" collapsed="false">
      <c r="A34" s="18" t="s">
        <v>323</v>
      </c>
      <c r="B34" s="53" t="n">
        <v>2347</v>
      </c>
      <c r="C34" s="53" t="n">
        <v>2229</v>
      </c>
      <c r="D34" s="56" t="n">
        <f aca="false">IFERROR((C34-B34)/B34,"—")</f>
        <v>-0.0502769492969749</v>
      </c>
      <c r="E34" s="18" t="s">
        <v>324</v>
      </c>
    </row>
    <row r="35" customFormat="false" ht="26.25" hidden="false" customHeight="true" outlineLevel="0" collapsed="false">
      <c r="A35" s="18" t="s">
        <v>325</v>
      </c>
      <c r="B35" s="53" t="n">
        <v>500</v>
      </c>
      <c r="C35" s="53" t="n">
        <v>200</v>
      </c>
      <c r="D35" s="56" t="n">
        <f aca="false">IFERROR((C35-B35)/B35,"—")</f>
        <v>-0.6</v>
      </c>
      <c r="E35" s="18" t="s">
        <v>326</v>
      </c>
    </row>
    <row r="36" customFormat="false" ht="26.25" hidden="false" customHeight="true" outlineLevel="0" collapsed="false">
      <c r="A36" s="18" t="s">
        <v>299</v>
      </c>
      <c r="B36" s="53" t="n">
        <v>1201</v>
      </c>
      <c r="C36" s="53" t="n">
        <v>1318</v>
      </c>
      <c r="D36" s="56" t="n">
        <f aca="false">IFERROR((C36-B36)/B36,"—")</f>
        <v>0.0974188176519567</v>
      </c>
      <c r="E36" s="18" t="s">
        <v>327</v>
      </c>
    </row>
    <row r="37" customFormat="false" ht="51.75" hidden="false" customHeight="true" outlineLevel="0" collapsed="false">
      <c r="A37" s="21" t="s">
        <v>328</v>
      </c>
      <c r="B37" s="57" t="n">
        <v>2.4</v>
      </c>
      <c r="C37" s="57" t="n">
        <v>2.2</v>
      </c>
      <c r="D37" s="56" t="n">
        <f aca="false">IFERROR((C37-B37)/B37,"—")</f>
        <v>-0.0833333333333332</v>
      </c>
      <c r="E37" s="18" t="s">
        <v>329</v>
      </c>
    </row>
    <row r="38" customFormat="false" ht="15" hidden="false" customHeight="true" outlineLevel="0" collapsed="false">
      <c r="A38" s="18" t="s">
        <v>330</v>
      </c>
      <c r="B38" s="55" t="n">
        <v>0.05</v>
      </c>
      <c r="C38" s="55" t="n">
        <v>0.057</v>
      </c>
      <c r="D38" s="56" t="n">
        <f aca="false">C38-B38</f>
        <v>0.007</v>
      </c>
      <c r="E38" s="18" t="s">
        <v>331</v>
      </c>
    </row>
    <row r="39" customFormat="false" ht="77.25" hidden="false" customHeight="true" outlineLevel="0" collapsed="false">
      <c r="A39" s="18" t="s">
        <v>332</v>
      </c>
      <c r="B39" s="53" t="n">
        <v>2093</v>
      </c>
      <c r="C39" s="53" t="n">
        <v>1332</v>
      </c>
      <c r="D39" s="56" t="n">
        <f aca="false">IFERROR((C39-B39)/B39,"—")</f>
        <v>-0.36359292881032</v>
      </c>
      <c r="E39" s="18" t="s">
        <v>333</v>
      </c>
    </row>
    <row r="40" customFormat="false" ht="39" hidden="false" customHeight="true" outlineLevel="0" collapsed="false">
      <c r="A40" s="18" t="s">
        <v>334</v>
      </c>
      <c r="B40" s="53" t="n">
        <v>1713</v>
      </c>
      <c r="C40" s="53" t="n">
        <v>124</v>
      </c>
      <c r="D40" s="56" t="n">
        <f aca="false">IFERROR((C40-B40)/B40,"—")</f>
        <v>-0.927612375948628</v>
      </c>
      <c r="E40" s="21" t="s">
        <v>335</v>
      </c>
    </row>
    <row r="41" customFormat="false" ht="39" hidden="false" customHeight="true" outlineLevel="0" collapsed="false">
      <c r="A41" s="18" t="s">
        <v>336</v>
      </c>
      <c r="B41" s="53" t="n">
        <v>7619</v>
      </c>
      <c r="C41" s="53" t="n">
        <v>11136</v>
      </c>
      <c r="D41" s="56" t="n">
        <f aca="false">IFERROR((C41-B41)/B41,"—")</f>
        <v>0.461609135057094</v>
      </c>
      <c r="E41" s="18" t="s">
        <v>337</v>
      </c>
    </row>
    <row r="42" customFormat="false" ht="15" hidden="false" customHeight="true" outlineLevel="0" collapsed="false">
      <c r="A42" s="18" t="s">
        <v>338</v>
      </c>
      <c r="B42" s="53" t="n">
        <v>6660</v>
      </c>
      <c r="C42" s="53" t="n">
        <v>2660</v>
      </c>
      <c r="D42" s="56" t="n">
        <f aca="false">IFERROR((C42-B42)/B42,"—")</f>
        <v>-0.600600600600601</v>
      </c>
      <c r="E42" s="18" t="s">
        <v>339</v>
      </c>
    </row>
    <row r="43" customFormat="false" ht="51.75" hidden="false" customHeight="true" outlineLevel="0" collapsed="false">
      <c r="A43" s="18" t="s">
        <v>340</v>
      </c>
      <c r="B43" s="53" t="n">
        <v>2181</v>
      </c>
      <c r="C43" s="53" t="n">
        <v>6925</v>
      </c>
      <c r="D43" s="56" t="n">
        <f aca="false">IFERROR((C43-B43)/B43,"—")</f>
        <v>2.17514901421366</v>
      </c>
      <c r="E43" s="18" t="s">
        <v>341</v>
      </c>
    </row>
    <row r="44" customFormat="false" ht="39" hidden="false" customHeight="true" outlineLevel="0" collapsed="false">
      <c r="A44" s="21" t="s">
        <v>342</v>
      </c>
      <c r="B44" s="55" t="n">
        <v>0.551</v>
      </c>
      <c r="C44" s="55" t="n">
        <v>0.19</v>
      </c>
      <c r="D44" s="56" t="n">
        <f aca="false">C44-B44</f>
        <v>-0.361</v>
      </c>
      <c r="E44" s="18" t="s">
        <v>343</v>
      </c>
    </row>
    <row r="45" customFormat="false" ht="15" hidden="false" customHeight="true" outlineLevel="0" collapsed="false">
      <c r="A45" s="18" t="s">
        <v>344</v>
      </c>
      <c r="B45" s="57" t="n">
        <v>35.26</v>
      </c>
      <c r="C45" s="57" t="n">
        <v>38.18</v>
      </c>
      <c r="D45" s="56" t="n">
        <f aca="false">IFERROR((C45-B45)/B45,"—")</f>
        <v>0.0828133862733977</v>
      </c>
      <c r="E45" s="18" t="s">
        <v>345</v>
      </c>
    </row>
    <row r="46" customFormat="false" ht="15" hidden="false" customHeight="true" outlineLevel="0" collapsed="false">
      <c r="A46" s="18" t="s">
        <v>346</v>
      </c>
      <c r="B46" s="53" t="n">
        <v>17630</v>
      </c>
      <c r="C46" s="53" t="n">
        <v>22908</v>
      </c>
      <c r="D46" s="56" t="n">
        <f aca="false">IFERROR((C46-B46)/B46,"—")</f>
        <v>0.299376063528077</v>
      </c>
      <c r="E46" s="18" t="s">
        <v>347</v>
      </c>
    </row>
    <row r="47" customFormat="false" ht="64.5" hidden="false" customHeight="true" outlineLevel="0" collapsed="false">
      <c r="A47" s="21" t="s">
        <v>249</v>
      </c>
      <c r="B47" s="55" t="n">
        <v>0.143</v>
      </c>
      <c r="C47" s="55" t="n">
        <v>0.124</v>
      </c>
      <c r="D47" s="56" t="n">
        <f aca="false">C47-B47</f>
        <v>-0.019</v>
      </c>
      <c r="E47" s="21" t="s">
        <v>348</v>
      </c>
    </row>
    <row r="48" customFormat="false" ht="51.75" hidden="false" customHeight="true" outlineLevel="0" collapsed="false">
      <c r="A48" s="21" t="s">
        <v>280</v>
      </c>
      <c r="B48" s="53" t="n">
        <v>703</v>
      </c>
      <c r="C48" s="53" t="n">
        <v>541</v>
      </c>
      <c r="D48" s="56" t="n">
        <f aca="false">IFERROR((C48-B48)/B48,"—")</f>
        <v>-0.230440967283073</v>
      </c>
      <c r="E48" s="18" t="s">
        <v>349</v>
      </c>
    </row>
    <row r="49" customFormat="false" ht="64.5" hidden="false" customHeight="true" outlineLevel="0" collapsed="false">
      <c r="A49" s="21" t="s">
        <v>350</v>
      </c>
      <c r="B49" s="53" t="n">
        <v>3012</v>
      </c>
      <c r="C49" s="53" t="n">
        <v>3145</v>
      </c>
      <c r="D49" s="56" t="n">
        <f aca="false">IFERROR((C49-B49)/B49,"—")</f>
        <v>0.0441567065073041</v>
      </c>
      <c r="E49" s="18" t="s">
        <v>351</v>
      </c>
    </row>
    <row r="50" customFormat="false" ht="26.25" hidden="false" customHeight="true" outlineLevel="0" collapsed="false">
      <c r="A50" s="21" t="s">
        <v>282</v>
      </c>
      <c r="B50" s="53" t="n">
        <v>444</v>
      </c>
      <c r="C50" s="53" t="n">
        <v>440</v>
      </c>
      <c r="D50" s="56" t="n">
        <f aca="false">IFERROR((C50-B50)/B50,"—")</f>
        <v>-0.00900900900900901</v>
      </c>
      <c r="E50" s="18" t="s">
        <v>352</v>
      </c>
    </row>
    <row r="51" customFormat="false" ht="39" hidden="false" customHeight="true" outlineLevel="0" collapsed="false">
      <c r="A51" s="21" t="s">
        <v>353</v>
      </c>
      <c r="B51" s="53" t="n">
        <v>2249</v>
      </c>
      <c r="C51" s="53" t="n">
        <v>2932</v>
      </c>
      <c r="D51" s="56" t="n">
        <f aca="false">IFERROR((C51-B51)/B51,"—")</f>
        <v>0.303690529124055</v>
      </c>
      <c r="E51" s="18" t="s">
        <v>354</v>
      </c>
    </row>
    <row r="52" customFormat="false" ht="39" hidden="false" customHeight="true" outlineLevel="0" collapsed="false">
      <c r="A52" s="21" t="s">
        <v>283</v>
      </c>
      <c r="B52" s="53" t="n">
        <v>304</v>
      </c>
      <c r="C52" s="53" t="n">
        <v>306</v>
      </c>
      <c r="D52" s="56" t="n">
        <f aca="false">IFERROR((C52-B52)/B52,"—")</f>
        <v>0.00657894736842105</v>
      </c>
      <c r="E52" s="18" t="s">
        <v>355</v>
      </c>
    </row>
    <row r="53" customFormat="false" ht="51.75" hidden="false" customHeight="true" outlineLevel="0" collapsed="false">
      <c r="A53" s="21" t="s">
        <v>356</v>
      </c>
      <c r="B53" s="53" t="n">
        <v>290</v>
      </c>
      <c r="C53" s="53" t="n">
        <v>584</v>
      </c>
      <c r="D53" s="56" t="n">
        <f aca="false">IFERROR((C53-B53)/B53,"—")</f>
        <v>1.01379310344828</v>
      </c>
      <c r="E53" s="18" t="s">
        <v>357</v>
      </c>
    </row>
    <row r="54" customFormat="false" ht="15" hidden="false" customHeight="true" outlineLevel="0" collapsed="false">
      <c r="A54" s="18" t="s">
        <v>358</v>
      </c>
      <c r="B54" s="53" t="n">
        <v>5551</v>
      </c>
      <c r="C54" s="53" t="n">
        <v>6661</v>
      </c>
      <c r="D54" s="56" t="n">
        <f aca="false">IFERROR((C54-B54)/B54,"—")</f>
        <v>0.199963970455774</v>
      </c>
      <c r="E54" s="18" t="s">
        <v>359</v>
      </c>
    </row>
    <row r="55" customFormat="false" ht="64.5" hidden="false" customHeight="true" outlineLevel="0" collapsed="false">
      <c r="A55" s="21" t="s">
        <v>360</v>
      </c>
      <c r="B55" s="18" t="s">
        <v>124</v>
      </c>
      <c r="C55" s="58" t="n">
        <v>-187</v>
      </c>
      <c r="D55" s="18" t="s">
        <v>124</v>
      </c>
      <c r="E55" s="18" t="s">
        <v>361</v>
      </c>
    </row>
    <row r="57" customFormat="false" ht="26.25" hidden="false" customHeight="true" outlineLevel="0" collapsed="false">
      <c r="A57" s="52" t="s">
        <v>362</v>
      </c>
    </row>
    <row r="58" customFormat="false" ht="15" hidden="false" customHeight="true" outlineLevel="0" collapsed="false">
      <c r="A58" s="13" t="s">
        <v>363</v>
      </c>
      <c r="B58" s="13" t="s">
        <v>364</v>
      </c>
      <c r="C58" s="13" t="s">
        <v>295</v>
      </c>
      <c r="D58" s="13" t="s">
        <v>365</v>
      </c>
      <c r="E58" s="13" t="s">
        <v>366</v>
      </c>
      <c r="F58" s="13" t="s">
        <v>367</v>
      </c>
      <c r="G58" s="13" t="s">
        <v>305</v>
      </c>
      <c r="H58" s="13" t="s">
        <v>368</v>
      </c>
      <c r="I58" s="13" t="s">
        <v>369</v>
      </c>
      <c r="J58" s="13" t="s">
        <v>370</v>
      </c>
      <c r="K58" s="13" t="s">
        <v>371</v>
      </c>
      <c r="L58" s="13" t="s">
        <v>372</v>
      </c>
    </row>
    <row r="59" customFormat="false" ht="15" hidden="false" customHeight="true" outlineLevel="0" collapsed="false">
      <c r="A59" s="21" t="s">
        <v>373</v>
      </c>
      <c r="B59" s="53" t="n">
        <v>278</v>
      </c>
      <c r="C59" s="55" t="n">
        <v>0.159</v>
      </c>
      <c r="D59" s="53" t="n">
        <v>215</v>
      </c>
      <c r="E59" s="53" t="n">
        <v>1657</v>
      </c>
      <c r="F59" s="53" t="n">
        <v>500</v>
      </c>
      <c r="G59" s="57" t="n">
        <v>30.26</v>
      </c>
      <c r="H59" s="53" t="n">
        <v>15130</v>
      </c>
      <c r="I59" s="53" t="n">
        <v>6660</v>
      </c>
      <c r="J59" s="55" t="n">
        <v>0.147</v>
      </c>
      <c r="K59" s="53" t="n">
        <v>0</v>
      </c>
      <c r="L59" s="18" t="s">
        <v>374</v>
      </c>
    </row>
    <row r="60" customFormat="false" ht="15" hidden="false" customHeight="true" outlineLevel="0" collapsed="false">
      <c r="A60" s="21" t="s">
        <v>375</v>
      </c>
      <c r="B60" s="53" t="n">
        <v>767</v>
      </c>
      <c r="C60" s="55" t="n">
        <v>0.196</v>
      </c>
      <c r="D60" s="53" t="n">
        <v>420</v>
      </c>
      <c r="E60" s="53" t="n">
        <v>1269</v>
      </c>
      <c r="F60" s="53" t="n">
        <v>385</v>
      </c>
      <c r="G60" s="57" t="n">
        <v>33.26</v>
      </c>
      <c r="H60" s="53" t="n">
        <v>19931</v>
      </c>
      <c r="I60" s="53" t="n">
        <v>5660</v>
      </c>
      <c r="J60" s="55" t="n">
        <v>0.096</v>
      </c>
      <c r="K60" s="53" t="n">
        <v>0</v>
      </c>
      <c r="L60" s="18" t="s">
        <v>376</v>
      </c>
    </row>
    <row r="61" customFormat="false" ht="15" hidden="false" customHeight="true" outlineLevel="0" collapsed="false">
      <c r="A61" s="21" t="s">
        <v>377</v>
      </c>
      <c r="B61" s="53" t="n">
        <v>1318</v>
      </c>
      <c r="C61" s="55" t="n">
        <v>0.229</v>
      </c>
      <c r="D61" s="53" t="n">
        <v>395</v>
      </c>
      <c r="E61" s="53" t="n">
        <v>1627</v>
      </c>
      <c r="F61" s="53" t="n">
        <v>200</v>
      </c>
      <c r="G61" s="57" t="n">
        <v>38.18</v>
      </c>
      <c r="H61" s="53" t="n">
        <v>22908</v>
      </c>
      <c r="I61" s="53" t="n">
        <v>2660</v>
      </c>
      <c r="J61" s="55" t="n">
        <v>0.124</v>
      </c>
      <c r="K61" s="53" t="n">
        <v>8</v>
      </c>
      <c r="L61" s="18" t="s">
        <v>378</v>
      </c>
    </row>
    <row r="62" customFormat="false" ht="15" hidden="false" customHeight="true" outlineLevel="0" collapsed="false">
      <c r="A62" s="21" t="s">
        <v>379</v>
      </c>
      <c r="B62" s="53" t="n">
        <v>1118</v>
      </c>
      <c r="C62" s="55" t="n">
        <v>0.198</v>
      </c>
      <c r="D62" s="53" t="n">
        <v>217</v>
      </c>
      <c r="E62" s="53" t="n">
        <v>1030</v>
      </c>
      <c r="F62" s="53" t="n">
        <v>543</v>
      </c>
      <c r="G62" s="57" t="n">
        <v>36.71</v>
      </c>
      <c r="H62" s="53" t="n">
        <v>18355</v>
      </c>
      <c r="I62" s="53" t="n">
        <v>8034</v>
      </c>
      <c r="J62" s="55" t="n">
        <v>0.203</v>
      </c>
      <c r="K62" s="53" t="n">
        <v>286</v>
      </c>
      <c r="L62" s="18" t="s">
        <v>380</v>
      </c>
    </row>
    <row r="63" customFormat="false" ht="15" hidden="false" customHeight="true" outlineLevel="0" collapsed="false">
      <c r="A63" s="21" t="s">
        <v>381</v>
      </c>
      <c r="B63" s="53" t="n">
        <v>1037</v>
      </c>
      <c r="C63" s="55" t="n">
        <v>0.182</v>
      </c>
      <c r="D63" s="53" t="n">
        <v>460</v>
      </c>
      <c r="E63" s="53" t="n">
        <v>1300</v>
      </c>
      <c r="F63" s="53" t="n">
        <v>125</v>
      </c>
      <c r="G63" s="57" t="n">
        <v>38.07</v>
      </c>
      <c r="H63" s="53" t="n">
        <v>22814</v>
      </c>
      <c r="I63" s="53" t="n">
        <v>1660</v>
      </c>
      <c r="J63" s="55" t="n">
        <v>0.13</v>
      </c>
      <c r="K63" s="53" t="n">
        <v>7</v>
      </c>
      <c r="L63" s="18" t="s">
        <v>382</v>
      </c>
    </row>
    <row r="64" customFormat="false" ht="15" hidden="false" customHeight="true" outlineLevel="0" collapsed="false">
      <c r="A64" s="21" t="s">
        <v>383</v>
      </c>
      <c r="B64" s="53" t="n">
        <v>853</v>
      </c>
      <c r="C64" s="55" t="n">
        <v>0.223</v>
      </c>
      <c r="D64" s="53" t="n">
        <v>360</v>
      </c>
      <c r="E64" s="53" t="n">
        <v>1965</v>
      </c>
      <c r="F64" s="53" t="n">
        <v>310</v>
      </c>
      <c r="G64" s="57" t="n">
        <v>34.87</v>
      </c>
      <c r="H64" s="53" t="n">
        <v>20896</v>
      </c>
      <c r="I64" s="53" t="n">
        <v>4660</v>
      </c>
      <c r="J64" s="55" t="n">
        <v>0.106</v>
      </c>
      <c r="K64" s="53" t="n">
        <v>0</v>
      </c>
      <c r="L64" s="18" t="s">
        <v>384</v>
      </c>
    </row>
    <row r="65" customFormat="false" ht="26.25" hidden="false" customHeight="true" outlineLevel="0" collapsed="false">
      <c r="A65" s="21" t="s">
        <v>385</v>
      </c>
      <c r="B65" s="53" t="n">
        <v>2014</v>
      </c>
      <c r="C65" s="55" t="n">
        <v>0.216</v>
      </c>
      <c r="D65" s="53" t="n">
        <v>215</v>
      </c>
      <c r="E65" s="53" t="n">
        <v>364</v>
      </c>
      <c r="F65" s="53" t="n">
        <v>172</v>
      </c>
      <c r="G65" s="57" t="n">
        <v>38.8</v>
      </c>
      <c r="H65" s="53" t="n">
        <v>23280</v>
      </c>
      <c r="I65" s="53" t="n">
        <v>3134</v>
      </c>
      <c r="J65" s="55" t="n">
        <v>0.194</v>
      </c>
      <c r="K65" s="53" t="n">
        <v>53</v>
      </c>
      <c r="L65" s="18" t="s">
        <v>386</v>
      </c>
    </row>
    <row r="66" customFormat="false" ht="51.75" hidden="false" customHeight="true" outlineLevel="0" collapsed="false">
      <c r="A66" s="21" t="s">
        <v>387</v>
      </c>
      <c r="B66" s="18" t="s">
        <v>388</v>
      </c>
    </row>
    <row r="67" customFormat="false" ht="26.25" hidden="false" customHeight="true" outlineLevel="0" collapsed="false">
      <c r="A67" s="21" t="s">
        <v>389</v>
      </c>
      <c r="B67" s="18" t="s">
        <v>390</v>
      </c>
    </row>
    <row r="68" customFormat="false" ht="26.25" hidden="false" customHeight="true" outlineLevel="0" collapsed="false">
      <c r="A68" s="21" t="s">
        <v>391</v>
      </c>
      <c r="B68" s="21" t="s">
        <v>392</v>
      </c>
    </row>
    <row r="69" customFormat="false" ht="26.25" hidden="false" customHeight="true" outlineLevel="0" collapsed="false">
      <c r="A69" s="21" t="s">
        <v>393</v>
      </c>
      <c r="B69" s="18" t="s">
        <v>394</v>
      </c>
    </row>
    <row r="70" customFormat="false" ht="39" hidden="false" customHeight="true" outlineLevel="0" collapsed="false">
      <c r="A70" s="21" t="s">
        <v>395</v>
      </c>
      <c r="B70" s="18" t="s">
        <v>396</v>
      </c>
    </row>
    <row r="71" customFormat="false" ht="26.25" hidden="false" customHeight="true" outlineLevel="0" collapsed="false">
      <c r="A71" s="21" t="s">
        <v>397</v>
      </c>
      <c r="B71" s="18" t="s">
        <v>398</v>
      </c>
    </row>
    <row r="73" customFormat="false" ht="15" hidden="false" customHeight="true" outlineLevel="0" collapsed="false">
      <c r="A73" s="52" t="s">
        <v>399</v>
      </c>
    </row>
    <row r="74" customFormat="false" ht="15" hidden="false" customHeight="true" outlineLevel="0" collapsed="false">
      <c r="A74" s="13" t="s">
        <v>400</v>
      </c>
      <c r="B74" s="13" t="s">
        <v>401</v>
      </c>
      <c r="C74" s="13" t="s">
        <v>402</v>
      </c>
    </row>
    <row r="75" customFormat="false" ht="39" hidden="false" customHeight="true" outlineLevel="0" collapsed="false">
      <c r="A75" s="18" t="s">
        <v>403</v>
      </c>
      <c r="B75" s="18" t="s">
        <v>404</v>
      </c>
      <c r="C75" s="21" t="s">
        <v>405</v>
      </c>
    </row>
    <row r="76" customFormat="false" ht="39" hidden="false" customHeight="true" outlineLevel="0" collapsed="false">
      <c r="A76" s="21" t="s">
        <v>406</v>
      </c>
      <c r="B76" s="21" t="s">
        <v>407</v>
      </c>
      <c r="C76" s="21" t="s">
        <v>408</v>
      </c>
    </row>
    <row r="77" customFormat="false" ht="26.25" hidden="false" customHeight="true" outlineLevel="0" collapsed="false">
      <c r="A77" s="18" t="s">
        <v>409</v>
      </c>
      <c r="B77" s="21" t="s">
        <v>410</v>
      </c>
      <c r="C77" s="18" t="s">
        <v>411</v>
      </c>
    </row>
    <row r="78" customFormat="false" ht="26.25" hidden="false" customHeight="true" outlineLevel="0" collapsed="false">
      <c r="A78" s="18" t="s">
        <v>412</v>
      </c>
      <c r="B78" s="21" t="s">
        <v>413</v>
      </c>
      <c r="C78" s="18" t="s">
        <v>414</v>
      </c>
    </row>
    <row r="79" customFormat="false" ht="15" hidden="false" customHeight="true" outlineLevel="0" collapsed="false">
      <c r="A79" s="18" t="s">
        <v>415</v>
      </c>
      <c r="B79" s="21" t="s">
        <v>416</v>
      </c>
      <c r="C79" s="18" t="s">
        <v>417</v>
      </c>
    </row>
    <row r="81" customFormat="false" ht="39" hidden="false" customHeight="true" outlineLevel="0" collapsed="false">
      <c r="A81" s="52" t="s">
        <v>418</v>
      </c>
    </row>
    <row r="82" customFormat="false" ht="15" hidden="false" customHeight="true" outlineLevel="0" collapsed="false">
      <c r="A82" s="13" t="s">
        <v>419</v>
      </c>
      <c r="B82" s="13" t="s">
        <v>420</v>
      </c>
      <c r="C82" s="13" t="s">
        <v>421</v>
      </c>
      <c r="D82" s="13" t="s">
        <v>422</v>
      </c>
    </row>
    <row r="83" customFormat="false" ht="39" hidden="false" customHeight="true" outlineLevel="0" collapsed="false">
      <c r="A83" s="18" t="s">
        <v>423</v>
      </c>
      <c r="B83" s="21" t="s">
        <v>424</v>
      </c>
      <c r="C83" s="18" t="s">
        <v>425</v>
      </c>
      <c r="D83" s="18" t="s">
        <v>426</v>
      </c>
    </row>
    <row r="84" customFormat="false" ht="15" hidden="false" customHeight="true" outlineLevel="0" collapsed="false">
      <c r="A84" s="18" t="s">
        <v>427</v>
      </c>
      <c r="B84" s="21" t="s">
        <v>428</v>
      </c>
      <c r="C84" s="18" t="s">
        <v>429</v>
      </c>
      <c r="D84" s="18" t="s">
        <v>430</v>
      </c>
    </row>
    <row r="85" customFormat="false" ht="15" hidden="false" customHeight="true" outlineLevel="0" collapsed="false">
      <c r="A85" s="18" t="s">
        <v>431</v>
      </c>
      <c r="B85" s="21" t="s">
        <v>432</v>
      </c>
      <c r="C85" s="18" t="s">
        <v>429</v>
      </c>
      <c r="D85" s="18"/>
    </row>
    <row r="86" customFormat="false" ht="26.25" hidden="false" customHeight="true" outlineLevel="0" collapsed="false">
      <c r="A86" s="21" t="s">
        <v>433</v>
      </c>
      <c r="B86" s="21" t="s">
        <v>434</v>
      </c>
      <c r="C86" s="18" t="s">
        <v>425</v>
      </c>
      <c r="D86" s="18" t="s">
        <v>435</v>
      </c>
    </row>
    <row r="87" customFormat="false" ht="26.25" hidden="false" customHeight="true" outlineLevel="0" collapsed="false">
      <c r="A87" s="21" t="s">
        <v>436</v>
      </c>
      <c r="B87" s="21" t="s">
        <v>437</v>
      </c>
      <c r="C87" s="18" t="s">
        <v>438</v>
      </c>
      <c r="D87" s="18" t="s">
        <v>439</v>
      </c>
    </row>
    <row r="88" customFormat="false" ht="15" hidden="false" customHeight="true" outlineLevel="0" collapsed="false">
      <c r="A88" s="18" t="s">
        <v>440</v>
      </c>
      <c r="B88" s="21" t="s">
        <v>441</v>
      </c>
      <c r="C88" s="18" t="s">
        <v>429</v>
      </c>
      <c r="D88" s="18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selection pane="top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50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1" min="10" style="1" width="10"/>
    <col collapsed="false" customWidth="true" hidden="false" outlineLevel="0" max="12" min="12" style="1" width="12"/>
    <col collapsed="false" customWidth="true" hidden="false" outlineLevel="0" max="13" min="13" style="1" width="60"/>
  </cols>
  <sheetData>
    <row r="1" customFormat="false" ht="17.25" hidden="false" customHeight="true" outlineLevel="0" collapsed="false">
      <c r="A1" s="2" t="s">
        <v>443</v>
      </c>
    </row>
    <row r="2" customFormat="false" ht="77.25" hidden="false" customHeight="true" outlineLevel="0" collapsed="false">
      <c r="A2" s="51" t="s">
        <v>444</v>
      </c>
    </row>
    <row r="4" customFormat="false" ht="15" hidden="false" customHeight="true" outlineLevel="0" collapsed="false">
      <c r="A4" s="52" t="s">
        <v>445</v>
      </c>
    </row>
    <row r="5" customFormat="false" ht="15" hidden="false" customHeight="true" outlineLevel="0" collapsed="false">
      <c r="A5" s="13" t="s">
        <v>2</v>
      </c>
      <c r="B5" s="13" t="s">
        <v>260</v>
      </c>
      <c r="C5" s="13" t="s">
        <v>261</v>
      </c>
      <c r="D5" s="13" t="s">
        <v>262</v>
      </c>
      <c r="E5" s="13" t="s">
        <v>263</v>
      </c>
      <c r="F5" s="13" t="s">
        <v>264</v>
      </c>
    </row>
    <row r="6" customFormat="false" ht="15" hidden="false" customHeight="true" outlineLevel="0" collapsed="false">
      <c r="A6" s="18" t="s">
        <v>265</v>
      </c>
      <c r="B6" s="18" t="s">
        <v>446</v>
      </c>
      <c r="C6" s="53" t="n">
        <v>10500</v>
      </c>
      <c r="D6" s="53" t="n">
        <v>9519</v>
      </c>
      <c r="E6" s="54" t="n">
        <f aca="false">D6-C6</f>
        <v>-981</v>
      </c>
      <c r="F6" s="21" t="s">
        <v>447</v>
      </c>
    </row>
    <row r="7" customFormat="false" ht="15" hidden="false" customHeight="true" outlineLevel="0" collapsed="false">
      <c r="A7" s="21" t="s">
        <v>268</v>
      </c>
      <c r="B7" s="21" t="s">
        <v>448</v>
      </c>
      <c r="C7" s="55" t="n">
        <v>0.068</v>
      </c>
      <c r="D7" s="55" t="n">
        <v>0.083</v>
      </c>
      <c r="E7" s="56" t="n">
        <f aca="false">D7-C7</f>
        <v>0.015</v>
      </c>
      <c r="F7" s="18" t="s">
        <v>449</v>
      </c>
    </row>
    <row r="8" customFormat="false" ht="15" hidden="false" customHeight="true" outlineLevel="0" collapsed="false">
      <c r="A8" s="21" t="s">
        <v>271</v>
      </c>
      <c r="B8" s="21" t="s">
        <v>450</v>
      </c>
      <c r="C8" s="55" t="n">
        <v>0.049</v>
      </c>
      <c r="D8" s="55" t="n">
        <v>0.055</v>
      </c>
      <c r="E8" s="56" t="n">
        <f aca="false">D8-C8</f>
        <v>0.006</v>
      </c>
      <c r="F8" s="21" t="s">
        <v>451</v>
      </c>
    </row>
    <row r="9" customFormat="false" ht="15" hidden="false" customHeight="true" outlineLevel="0" collapsed="false">
      <c r="A9" s="21" t="s">
        <v>274</v>
      </c>
      <c r="B9" s="21" t="s">
        <v>452</v>
      </c>
      <c r="C9" s="55" t="n">
        <v>0.033</v>
      </c>
      <c r="D9" s="55" t="n">
        <v>0.038</v>
      </c>
      <c r="E9" s="56" t="n">
        <f aca="false">D9-C9</f>
        <v>0.005</v>
      </c>
      <c r="F9" s="21" t="s">
        <v>453</v>
      </c>
    </row>
    <row r="10" customFormat="false" ht="15" hidden="false" customHeight="true" outlineLevel="0" collapsed="false">
      <c r="A10" s="18" t="s">
        <v>277</v>
      </c>
      <c r="B10" s="18" t="s">
        <v>454</v>
      </c>
      <c r="C10" s="53" t="n">
        <v>1559</v>
      </c>
      <c r="D10" s="53" t="n">
        <v>1682</v>
      </c>
      <c r="E10" s="54" t="n">
        <f aca="false">D10-C10</f>
        <v>123</v>
      </c>
      <c r="F10" s="18" t="s">
        <v>455</v>
      </c>
    </row>
    <row r="11" customFormat="false" ht="15" hidden="false" customHeight="true" outlineLevel="0" collapsed="false">
      <c r="A11" s="21" t="s">
        <v>280</v>
      </c>
      <c r="B11" s="18" t="s">
        <v>281</v>
      </c>
      <c r="C11" s="53" t="n">
        <v>714</v>
      </c>
      <c r="D11" s="53" t="n">
        <v>792</v>
      </c>
      <c r="E11" s="54" t="n">
        <f aca="false">D11-C11</f>
        <v>78</v>
      </c>
      <c r="F11" s="21" t="s">
        <v>456</v>
      </c>
    </row>
    <row r="12" customFormat="false" ht="15" hidden="false" customHeight="true" outlineLevel="0" collapsed="false">
      <c r="A12" s="21" t="s">
        <v>282</v>
      </c>
      <c r="B12" s="18" t="s">
        <v>281</v>
      </c>
      <c r="C12" s="53" t="n">
        <v>500</v>
      </c>
      <c r="D12" s="53" t="n">
        <v>528</v>
      </c>
      <c r="E12" s="54" t="n">
        <f aca="false">D12-C12</f>
        <v>28</v>
      </c>
      <c r="F12" s="21" t="s">
        <v>457</v>
      </c>
    </row>
    <row r="13" customFormat="false" ht="15" hidden="false" customHeight="true" outlineLevel="0" collapsed="false">
      <c r="A13" s="21" t="s">
        <v>283</v>
      </c>
      <c r="B13" s="18" t="s">
        <v>281</v>
      </c>
      <c r="C13" s="53" t="n">
        <v>345</v>
      </c>
      <c r="D13" s="53" t="n">
        <v>362</v>
      </c>
      <c r="E13" s="54" t="n">
        <f aca="false">D13-C13</f>
        <v>17</v>
      </c>
      <c r="F13" s="21" t="s">
        <v>458</v>
      </c>
    </row>
    <row r="14" customFormat="false" ht="15" hidden="false" customHeight="true" outlineLevel="0" collapsed="false">
      <c r="A14" s="18" t="s">
        <v>287</v>
      </c>
      <c r="B14" s="21" t="s">
        <v>459</v>
      </c>
      <c r="C14" s="53" t="n">
        <v>79</v>
      </c>
      <c r="D14" s="53" t="n">
        <v>400</v>
      </c>
      <c r="E14" s="54" t="n">
        <f aca="false">D14-C14</f>
        <v>321</v>
      </c>
      <c r="F14" s="21" t="s">
        <v>460</v>
      </c>
    </row>
    <row r="15" customFormat="false" ht="15" hidden="false" customHeight="true" outlineLevel="0" collapsed="false">
      <c r="A15" s="18" t="s">
        <v>290</v>
      </c>
      <c r="B15" s="21" t="s">
        <v>291</v>
      </c>
      <c r="C15" s="53" t="n">
        <v>30052</v>
      </c>
      <c r="D15" s="53" t="n">
        <v>32507</v>
      </c>
      <c r="E15" s="54" t="n">
        <f aca="false">D15-C15</f>
        <v>2455</v>
      </c>
      <c r="F15" s="18" t="s">
        <v>461</v>
      </c>
    </row>
    <row r="16" customFormat="false" ht="15" hidden="false" customHeight="true" outlineLevel="0" collapsed="false">
      <c r="A16" s="21" t="s">
        <v>293</v>
      </c>
      <c r="B16" s="21" t="s">
        <v>291</v>
      </c>
      <c r="C16" s="53" t="n">
        <v>22255</v>
      </c>
      <c r="D16" s="53" t="n">
        <v>24225</v>
      </c>
      <c r="E16" s="54" t="n">
        <f aca="false">D16-C16</f>
        <v>1970</v>
      </c>
      <c r="F16" s="18" t="s">
        <v>462</v>
      </c>
    </row>
    <row r="17" customFormat="false" ht="15" hidden="false" customHeight="true" outlineLevel="0" collapsed="false">
      <c r="A17" s="18" t="s">
        <v>295</v>
      </c>
      <c r="B17" s="21" t="s">
        <v>291</v>
      </c>
      <c r="C17" s="55" t="n">
        <v>0.259</v>
      </c>
      <c r="D17" s="55" t="n">
        <v>0.255</v>
      </c>
      <c r="E17" s="56" t="n">
        <f aca="false">D17-C17</f>
        <v>-0.004</v>
      </c>
      <c r="F17" s="18" t="s">
        <v>296</v>
      </c>
    </row>
    <row r="18" customFormat="false" ht="15" hidden="false" customHeight="true" outlineLevel="0" collapsed="false">
      <c r="A18" s="21" t="s">
        <v>297</v>
      </c>
      <c r="B18" s="21" t="s">
        <v>291</v>
      </c>
      <c r="C18" s="53" t="n">
        <v>1142</v>
      </c>
      <c r="D18" s="53" t="n">
        <v>1193</v>
      </c>
      <c r="E18" s="54" t="n">
        <f aca="false">D18-C18</f>
        <v>51</v>
      </c>
      <c r="F18" s="21" t="s">
        <v>463</v>
      </c>
    </row>
    <row r="19" customFormat="false" ht="15" hidden="false" customHeight="true" outlineLevel="0" collapsed="false">
      <c r="A19" s="18" t="s">
        <v>299</v>
      </c>
      <c r="B19" s="21" t="s">
        <v>291</v>
      </c>
      <c r="C19" s="53" t="n">
        <v>2663</v>
      </c>
      <c r="D19" s="53" t="n">
        <v>2945</v>
      </c>
      <c r="E19" s="54" t="n">
        <f aca="false">D19-C19</f>
        <v>282</v>
      </c>
      <c r="F19" s="18" t="s">
        <v>464</v>
      </c>
    </row>
    <row r="20" customFormat="false" ht="15" hidden="false" customHeight="true" outlineLevel="0" collapsed="false">
      <c r="A20" s="18" t="s">
        <v>301</v>
      </c>
      <c r="B20" s="21" t="s">
        <v>291</v>
      </c>
      <c r="C20" s="53" t="n">
        <v>1024</v>
      </c>
      <c r="D20" s="53" t="n">
        <v>1400</v>
      </c>
      <c r="E20" s="54" t="n">
        <f aca="false">D20-C20</f>
        <v>376</v>
      </c>
      <c r="F20" s="18" t="s">
        <v>302</v>
      </c>
    </row>
    <row r="21" customFormat="false" ht="15" hidden="false" customHeight="true" outlineLevel="0" collapsed="false">
      <c r="A21" s="21" t="s">
        <v>249</v>
      </c>
      <c r="B21" s="21" t="s">
        <v>465</v>
      </c>
      <c r="C21" s="18" t="s">
        <v>309</v>
      </c>
      <c r="D21" s="55" t="n">
        <v>0.194</v>
      </c>
      <c r="E21" s="21" t="s">
        <v>466</v>
      </c>
      <c r="F21" s="18" t="s">
        <v>467</v>
      </c>
    </row>
    <row r="22" customFormat="false" ht="15" hidden="false" customHeight="true" outlineLevel="0" collapsed="false">
      <c r="A22" s="18" t="s">
        <v>344</v>
      </c>
      <c r="B22" s="18" t="s">
        <v>306</v>
      </c>
      <c r="C22" s="18" t="s">
        <v>124</v>
      </c>
      <c r="D22" s="57" t="n">
        <v>55.09</v>
      </c>
      <c r="E22" s="21" t="s">
        <v>468</v>
      </c>
      <c r="F22" s="18" t="s">
        <v>469</v>
      </c>
    </row>
    <row r="23" customFormat="false" ht="26.25" hidden="false" customHeight="true" outlineLevel="0" collapsed="false">
      <c r="A23" s="18" t="s">
        <v>470</v>
      </c>
      <c r="B23" s="21" t="s">
        <v>471</v>
      </c>
      <c r="C23" s="18" t="s">
        <v>472</v>
      </c>
      <c r="D23" s="18" t="s">
        <v>473</v>
      </c>
      <c r="E23" s="18" t="s">
        <v>124</v>
      </c>
      <c r="F23" s="18" t="s">
        <v>474</v>
      </c>
    </row>
    <row r="25" customFormat="false" ht="26.25" hidden="false" customHeight="true" outlineLevel="0" collapsed="false">
      <c r="A25" s="52" t="s">
        <v>475</v>
      </c>
    </row>
    <row r="26" customFormat="false" ht="15" hidden="false" customHeight="true" outlineLevel="0" collapsed="false">
      <c r="A26" s="13" t="s">
        <v>2</v>
      </c>
      <c r="B26" s="52" t="s">
        <v>70</v>
      </c>
      <c r="C26" s="52" t="s">
        <v>71</v>
      </c>
      <c r="D26" s="13" t="s">
        <v>314</v>
      </c>
      <c r="E26" s="13" t="s">
        <v>264</v>
      </c>
    </row>
    <row r="27" customFormat="false" ht="51.75" hidden="false" customHeight="true" outlineLevel="0" collapsed="false">
      <c r="A27" s="18" t="s">
        <v>290</v>
      </c>
      <c r="B27" s="53" t="n">
        <v>22925</v>
      </c>
      <c r="C27" s="53" t="n">
        <v>32507</v>
      </c>
      <c r="D27" s="56" t="n">
        <f aca="false">IFERROR((C27-B27)/B27,"—")</f>
        <v>0.417971646673937</v>
      </c>
      <c r="E27" s="18" t="s">
        <v>476</v>
      </c>
    </row>
    <row r="28" customFormat="false" ht="51.75" hidden="false" customHeight="true" outlineLevel="0" collapsed="false">
      <c r="A28" s="21" t="s">
        <v>293</v>
      </c>
      <c r="B28" s="53" t="n">
        <v>17679</v>
      </c>
      <c r="C28" s="53" t="n">
        <v>24225</v>
      </c>
      <c r="D28" s="56" t="n">
        <f aca="false">IFERROR((C28-B28)/B28,"—")</f>
        <v>0.37026981164093</v>
      </c>
      <c r="E28" s="18" t="s">
        <v>477</v>
      </c>
    </row>
    <row r="29" customFormat="false" ht="26.25" hidden="false" customHeight="true" outlineLevel="0" collapsed="false">
      <c r="A29" s="18" t="s">
        <v>295</v>
      </c>
      <c r="B29" s="55" t="n">
        <v>0.229</v>
      </c>
      <c r="C29" s="55" t="n">
        <v>0.255</v>
      </c>
      <c r="D29" s="56" t="n">
        <f aca="false">C29-B29</f>
        <v>0.026</v>
      </c>
      <c r="E29" s="18" t="s">
        <v>478</v>
      </c>
    </row>
    <row r="30" customFormat="false" ht="51.75" hidden="false" customHeight="true" outlineLevel="0" collapsed="false">
      <c r="A30" s="18" t="s">
        <v>318</v>
      </c>
      <c r="B30" s="53" t="n">
        <v>395</v>
      </c>
      <c r="C30" s="53" t="n">
        <v>675</v>
      </c>
      <c r="D30" s="56" t="n">
        <f aca="false">IFERROR((C30-B30)/B30,"—")</f>
        <v>0.708860759493671</v>
      </c>
      <c r="E30" s="21" t="s">
        <v>479</v>
      </c>
    </row>
    <row r="31" customFormat="false" ht="128.25" hidden="false" customHeight="true" outlineLevel="0" collapsed="false">
      <c r="A31" s="18" t="s">
        <v>320</v>
      </c>
      <c r="B31" s="53" t="n">
        <v>1627</v>
      </c>
      <c r="C31" s="53" t="n">
        <v>1868</v>
      </c>
      <c r="D31" s="56" t="n">
        <f aca="false">IFERROR((C31-B31)/B31,"—")</f>
        <v>0.148125384142594</v>
      </c>
      <c r="E31" s="21" t="s">
        <v>480</v>
      </c>
    </row>
    <row r="32" customFormat="false" ht="51.75" hidden="false" customHeight="true" outlineLevel="0" collapsed="false">
      <c r="A32" s="21" t="s">
        <v>297</v>
      </c>
      <c r="B32" s="53" t="n">
        <v>994</v>
      </c>
      <c r="C32" s="53" t="n">
        <v>1193</v>
      </c>
      <c r="D32" s="56" t="n">
        <f aca="false">IFERROR((C32-B32)/B32,"—")</f>
        <v>0.200201207243461</v>
      </c>
      <c r="E32" s="21" t="s">
        <v>481</v>
      </c>
    </row>
    <row r="33" customFormat="false" ht="39" hidden="false" customHeight="true" outlineLevel="0" collapsed="false">
      <c r="A33" s="18" t="s">
        <v>323</v>
      </c>
      <c r="B33" s="53" t="n">
        <v>2229</v>
      </c>
      <c r="C33" s="53" t="n">
        <v>4546</v>
      </c>
      <c r="D33" s="56" t="n">
        <f aca="false">IFERROR((C33-B33)/B33,"—")</f>
        <v>1.03947958725886</v>
      </c>
      <c r="E33" s="18" t="s">
        <v>482</v>
      </c>
    </row>
    <row r="34" customFormat="false" ht="15" hidden="false" customHeight="true" outlineLevel="0" collapsed="false">
      <c r="A34" s="18" t="s">
        <v>325</v>
      </c>
      <c r="B34" s="53" t="n">
        <v>200</v>
      </c>
      <c r="C34" s="53" t="n">
        <v>0</v>
      </c>
      <c r="D34" s="56" t="n">
        <f aca="false">IFERROR((C34-B34)/B34,"—")</f>
        <v>-1</v>
      </c>
      <c r="E34" s="18" t="s">
        <v>483</v>
      </c>
    </row>
    <row r="35" customFormat="false" ht="15" hidden="false" customHeight="true" outlineLevel="0" collapsed="false">
      <c r="A35" s="18" t="s">
        <v>299</v>
      </c>
      <c r="B35" s="53" t="n">
        <v>1318</v>
      </c>
      <c r="C35" s="53" t="n">
        <v>2945</v>
      </c>
      <c r="D35" s="56" t="n">
        <f aca="false">IFERROR((C35-B35)/B35,"—")</f>
        <v>1.23444613050076</v>
      </c>
      <c r="E35" s="18" t="s">
        <v>484</v>
      </c>
    </row>
    <row r="36" customFormat="false" ht="26.25" hidden="false" customHeight="true" outlineLevel="0" collapsed="false">
      <c r="A36" s="21" t="s">
        <v>328</v>
      </c>
      <c r="B36" s="57" t="n">
        <v>2.2</v>
      </c>
      <c r="C36" s="57" t="n">
        <v>4.09</v>
      </c>
      <c r="D36" s="56" t="n">
        <f aca="false">IFERROR((C36-B36)/B36,"—")</f>
        <v>0.859090909090909</v>
      </c>
      <c r="E36" s="18" t="s">
        <v>485</v>
      </c>
    </row>
    <row r="37" customFormat="false" ht="15" hidden="false" customHeight="true" outlineLevel="0" collapsed="false">
      <c r="A37" s="18" t="s">
        <v>330</v>
      </c>
      <c r="B37" s="55" t="n">
        <v>0.057</v>
      </c>
      <c r="C37" s="55" t="n">
        <v>0.091</v>
      </c>
      <c r="D37" s="56" t="n">
        <f aca="false">C37-B37</f>
        <v>0.034</v>
      </c>
      <c r="E37" s="18" t="s">
        <v>124</v>
      </c>
    </row>
    <row r="38" customFormat="false" ht="102.75" hidden="false" customHeight="true" outlineLevel="0" collapsed="false">
      <c r="A38" s="18" t="s">
        <v>332</v>
      </c>
      <c r="B38" s="53" t="n">
        <v>1332</v>
      </c>
      <c r="C38" s="53" t="n">
        <v>1400</v>
      </c>
      <c r="D38" s="56" t="n">
        <f aca="false">IFERROR((C38-B38)/B38,"—")</f>
        <v>0.0510510510510511</v>
      </c>
      <c r="E38" s="18" t="s">
        <v>486</v>
      </c>
    </row>
    <row r="39" customFormat="false" ht="15" hidden="false" customHeight="true" outlineLevel="0" collapsed="false">
      <c r="A39" s="18" t="s">
        <v>487</v>
      </c>
      <c r="B39" s="53" t="n">
        <v>1788</v>
      </c>
      <c r="C39" s="53" t="n">
        <v>2560</v>
      </c>
      <c r="D39" s="56" t="n">
        <f aca="false">IFERROR((C39-B39)/B39,"—")</f>
        <v>0.431767337807606</v>
      </c>
      <c r="E39" s="18" t="s">
        <v>488</v>
      </c>
    </row>
    <row r="40" customFormat="false" ht="26.25" hidden="false" customHeight="true" outlineLevel="0" collapsed="false">
      <c r="A40" s="18" t="s">
        <v>336</v>
      </c>
      <c r="B40" s="53" t="n">
        <v>11136</v>
      </c>
      <c r="C40" s="53" t="n">
        <v>17326</v>
      </c>
      <c r="D40" s="56" t="n">
        <f aca="false">IFERROR((C40-B40)/B40,"—")</f>
        <v>0.555854885057471</v>
      </c>
      <c r="E40" s="18" t="s">
        <v>489</v>
      </c>
    </row>
    <row r="41" customFormat="false" ht="15" hidden="false" customHeight="true" outlineLevel="0" collapsed="false">
      <c r="A41" s="18" t="s">
        <v>490</v>
      </c>
      <c r="B41" s="53" t="n">
        <v>2660</v>
      </c>
      <c r="C41" s="53" t="n">
        <v>0</v>
      </c>
      <c r="D41" s="56" t="n">
        <f aca="false">IFERROR((C41-B41)/B41,"—")</f>
        <v>-1</v>
      </c>
      <c r="E41" s="18" t="s">
        <v>491</v>
      </c>
    </row>
    <row r="42" customFormat="false" ht="51.75" hidden="false" customHeight="true" outlineLevel="0" collapsed="false">
      <c r="A42" s="18" t="s">
        <v>340</v>
      </c>
      <c r="B42" s="53" t="n">
        <v>6925</v>
      </c>
      <c r="C42" s="53" t="n">
        <v>14351</v>
      </c>
      <c r="D42" s="56" t="n">
        <f aca="false">IFERROR((C42-B42)/B42,"—")</f>
        <v>1.07234657039711</v>
      </c>
      <c r="E42" s="18" t="s">
        <v>492</v>
      </c>
    </row>
    <row r="43" customFormat="false" ht="15" hidden="false" customHeight="true" outlineLevel="0" collapsed="false">
      <c r="A43" s="21" t="s">
        <v>342</v>
      </c>
      <c r="B43" s="55" t="n">
        <v>0.19</v>
      </c>
      <c r="C43" s="55" t="n">
        <v>0.205</v>
      </c>
      <c r="D43" s="56" t="n">
        <f aca="false">C43-B43</f>
        <v>0.015</v>
      </c>
      <c r="E43" s="18" t="s">
        <v>493</v>
      </c>
    </row>
    <row r="44" customFormat="false" ht="26.25" hidden="false" customHeight="true" outlineLevel="0" collapsed="false">
      <c r="A44" s="18" t="s">
        <v>344</v>
      </c>
      <c r="B44" s="57" t="n">
        <v>38.18</v>
      </c>
      <c r="C44" s="57" t="n">
        <v>55.09</v>
      </c>
      <c r="D44" s="56" t="n">
        <f aca="false">IFERROR((C44-B44)/B44,"—")</f>
        <v>0.442902042954427</v>
      </c>
      <c r="E44" s="18" t="s">
        <v>494</v>
      </c>
    </row>
    <row r="45" customFormat="false" ht="15" hidden="false" customHeight="true" outlineLevel="0" collapsed="false">
      <c r="A45" s="18" t="s">
        <v>346</v>
      </c>
      <c r="B45" s="53" t="n">
        <v>22908</v>
      </c>
      <c r="C45" s="53" t="n">
        <v>39664</v>
      </c>
      <c r="D45" s="56" t="n">
        <f aca="false">IFERROR((C45-B45)/B45,"—")</f>
        <v>0.731447529247425</v>
      </c>
      <c r="E45" s="18" t="s">
        <v>495</v>
      </c>
    </row>
    <row r="46" customFormat="false" ht="26.25" hidden="false" customHeight="true" outlineLevel="0" collapsed="false">
      <c r="A46" s="21" t="s">
        <v>249</v>
      </c>
      <c r="B46" s="55" t="n">
        <v>0.124</v>
      </c>
      <c r="C46" s="55" t="n">
        <v>0.194</v>
      </c>
      <c r="D46" s="56" t="n">
        <f aca="false">C46-B46</f>
        <v>0.07</v>
      </c>
      <c r="E46" s="18" t="s">
        <v>496</v>
      </c>
    </row>
    <row r="47" customFormat="false" ht="26.25" hidden="false" customHeight="true" outlineLevel="0" collapsed="false">
      <c r="A47" s="18" t="s">
        <v>497</v>
      </c>
      <c r="B47" s="55" t="n">
        <v>0.144</v>
      </c>
      <c r="C47" s="55" t="n">
        <v>0.177</v>
      </c>
      <c r="D47" s="56" t="n">
        <f aca="false">C47-B47</f>
        <v>0.033</v>
      </c>
      <c r="E47" s="18" t="s">
        <v>498</v>
      </c>
    </row>
    <row r="48" customFormat="false" ht="39" hidden="false" customHeight="true" outlineLevel="0" collapsed="false">
      <c r="A48" s="21" t="s">
        <v>280</v>
      </c>
      <c r="B48" s="53" t="n">
        <v>541</v>
      </c>
      <c r="C48" s="53" t="n">
        <v>792</v>
      </c>
      <c r="D48" s="56" t="n">
        <f aca="false">IFERROR((C48-B48)/B48,"—")</f>
        <v>0.463955637707948</v>
      </c>
      <c r="E48" s="18" t="s">
        <v>499</v>
      </c>
    </row>
    <row r="49" customFormat="false" ht="26.25" hidden="false" customHeight="true" outlineLevel="0" collapsed="false">
      <c r="A49" s="21" t="s">
        <v>350</v>
      </c>
      <c r="B49" s="53" t="n">
        <v>3145</v>
      </c>
      <c r="C49" s="53" t="n">
        <v>4598</v>
      </c>
      <c r="D49" s="56" t="n">
        <f aca="false">IFERROR((C49-B49)/B49,"—")</f>
        <v>0.462003179650238</v>
      </c>
      <c r="E49" s="21" t="s">
        <v>500</v>
      </c>
    </row>
    <row r="50" customFormat="false" ht="39" hidden="false" customHeight="true" outlineLevel="0" collapsed="false">
      <c r="A50" s="21" t="s">
        <v>282</v>
      </c>
      <c r="B50" s="53" t="n">
        <v>440</v>
      </c>
      <c r="C50" s="53" t="n">
        <v>528</v>
      </c>
      <c r="D50" s="56" t="n">
        <f aca="false">IFERROR((C50-B50)/B50,"—")</f>
        <v>0.2</v>
      </c>
      <c r="E50" s="21" t="s">
        <v>501</v>
      </c>
    </row>
    <row r="51" customFormat="false" ht="26.25" hidden="false" customHeight="true" outlineLevel="0" collapsed="false">
      <c r="A51" s="21" t="s">
        <v>353</v>
      </c>
      <c r="B51" s="53" t="n">
        <v>2932</v>
      </c>
      <c r="C51" s="53" t="n">
        <v>4042</v>
      </c>
      <c r="D51" s="56" t="n">
        <f aca="false">IFERROR((C51-B51)/B51,"—")</f>
        <v>0.378581173260573</v>
      </c>
      <c r="E51" s="21" t="s">
        <v>502</v>
      </c>
    </row>
    <row r="52" customFormat="false" ht="39" hidden="false" customHeight="true" outlineLevel="0" collapsed="false">
      <c r="A52" s="21" t="s">
        <v>283</v>
      </c>
      <c r="B52" s="53" t="n">
        <v>306</v>
      </c>
      <c r="C52" s="53" t="n">
        <v>362</v>
      </c>
      <c r="D52" s="56" t="n">
        <f aca="false">IFERROR((C52-B52)/B52,"—")</f>
        <v>0.183006535947712</v>
      </c>
      <c r="E52" s="18" t="s">
        <v>503</v>
      </c>
    </row>
    <row r="53" customFormat="false" ht="26.25" hidden="false" customHeight="true" outlineLevel="0" collapsed="false">
      <c r="A53" s="21" t="s">
        <v>356</v>
      </c>
      <c r="B53" s="53" t="n">
        <v>584</v>
      </c>
      <c r="C53" s="53" t="n">
        <v>1099</v>
      </c>
      <c r="D53" s="56" t="n">
        <f aca="false">IFERROR((C53-B53)/B53,"—")</f>
        <v>0.881849315068493</v>
      </c>
      <c r="E53" s="21" t="s">
        <v>504</v>
      </c>
    </row>
    <row r="54" customFormat="false" ht="77.25" hidden="false" customHeight="true" outlineLevel="0" collapsed="false">
      <c r="A54" s="21" t="s">
        <v>360</v>
      </c>
      <c r="B54" s="58" t="n">
        <v>-187</v>
      </c>
      <c r="C54" s="58" t="n">
        <v>-1753</v>
      </c>
      <c r="D54" s="18" t="s">
        <v>124</v>
      </c>
      <c r="E54" s="18" t="s">
        <v>505</v>
      </c>
    </row>
    <row r="56" customFormat="false" ht="26.25" hidden="false" customHeight="true" outlineLevel="0" collapsed="false">
      <c r="A56" s="52" t="s">
        <v>506</v>
      </c>
    </row>
    <row r="57" customFormat="false" ht="15" hidden="false" customHeight="true" outlineLevel="0" collapsed="false">
      <c r="A57" s="13" t="s">
        <v>363</v>
      </c>
      <c r="B57" s="13" t="s">
        <v>364</v>
      </c>
      <c r="C57" s="13" t="s">
        <v>295</v>
      </c>
      <c r="D57" s="13" t="s">
        <v>365</v>
      </c>
      <c r="E57" s="13" t="s">
        <v>366</v>
      </c>
      <c r="F57" s="13" t="s">
        <v>367</v>
      </c>
      <c r="G57" s="13" t="s">
        <v>305</v>
      </c>
      <c r="H57" s="13" t="s">
        <v>368</v>
      </c>
      <c r="I57" s="13" t="s">
        <v>369</v>
      </c>
      <c r="J57" s="13" t="s">
        <v>370</v>
      </c>
      <c r="K57" s="13" t="s">
        <v>497</v>
      </c>
      <c r="L57" s="13" t="s">
        <v>371</v>
      </c>
      <c r="M57" s="13" t="s">
        <v>372</v>
      </c>
    </row>
    <row r="58" customFormat="false" ht="15" hidden="false" customHeight="true" outlineLevel="0" collapsed="false">
      <c r="A58" s="21" t="s">
        <v>373</v>
      </c>
      <c r="B58" s="53" t="n">
        <v>1806</v>
      </c>
      <c r="C58" s="55" t="n">
        <v>0.26</v>
      </c>
      <c r="D58" s="53" t="n">
        <v>215</v>
      </c>
      <c r="E58" s="53" t="n">
        <v>944</v>
      </c>
      <c r="F58" s="53" t="n">
        <v>480</v>
      </c>
      <c r="G58" s="57" t="n">
        <v>36</v>
      </c>
      <c r="H58" s="53" t="n">
        <v>18000</v>
      </c>
      <c r="I58" s="53" t="n">
        <v>6000</v>
      </c>
      <c r="J58" s="55" t="n">
        <v>0.121</v>
      </c>
      <c r="K58" s="55" t="n">
        <v>0.108</v>
      </c>
      <c r="L58" s="53" t="n">
        <v>280</v>
      </c>
      <c r="M58" s="18" t="s">
        <v>507</v>
      </c>
    </row>
    <row r="59" customFormat="false" ht="15" hidden="false" customHeight="true" outlineLevel="0" collapsed="false">
      <c r="A59" s="21" t="s">
        <v>375</v>
      </c>
      <c r="B59" s="53" t="n">
        <v>2068</v>
      </c>
      <c r="C59" s="55" t="n">
        <v>0.205</v>
      </c>
      <c r="D59" s="53" t="n">
        <v>485</v>
      </c>
      <c r="E59" s="53" t="n">
        <v>501</v>
      </c>
      <c r="F59" s="53" t="n">
        <v>226</v>
      </c>
      <c r="G59" s="57" t="n">
        <v>43.78</v>
      </c>
      <c r="H59" s="53" t="n">
        <v>26236</v>
      </c>
      <c r="I59" s="53" t="n">
        <v>3660</v>
      </c>
      <c r="J59" s="55" t="n">
        <v>0.202</v>
      </c>
      <c r="K59" s="55" t="n">
        <v>0.152</v>
      </c>
      <c r="L59" s="53" t="n">
        <v>0</v>
      </c>
      <c r="M59" s="18" t="s">
        <v>508</v>
      </c>
    </row>
    <row r="60" customFormat="false" ht="15" hidden="false" customHeight="true" outlineLevel="0" collapsed="false">
      <c r="A60" s="21" t="s">
        <v>377</v>
      </c>
      <c r="B60" s="53" t="n">
        <v>2945</v>
      </c>
      <c r="C60" s="55" t="n">
        <v>0.255</v>
      </c>
      <c r="D60" s="53" t="n">
        <v>675</v>
      </c>
      <c r="E60" s="53" t="n">
        <v>1868</v>
      </c>
      <c r="F60" s="53" t="n">
        <v>0</v>
      </c>
      <c r="G60" s="57" t="n">
        <v>55.09</v>
      </c>
      <c r="H60" s="53" t="n">
        <v>39664</v>
      </c>
      <c r="I60" s="53" t="n">
        <v>0</v>
      </c>
      <c r="J60" s="55" t="n">
        <v>0.194</v>
      </c>
      <c r="K60" s="55" t="n">
        <v>0.177</v>
      </c>
      <c r="L60" s="53" t="n">
        <v>0</v>
      </c>
      <c r="M60" s="21" t="s">
        <v>509</v>
      </c>
    </row>
    <row r="61" customFormat="false" ht="15" hidden="false" customHeight="true" outlineLevel="0" collapsed="false">
      <c r="A61" s="21" t="s">
        <v>379</v>
      </c>
      <c r="B61" s="53" t="n">
        <v>1205</v>
      </c>
      <c r="C61" s="55" t="n">
        <v>0.236</v>
      </c>
      <c r="D61" s="53" t="n">
        <v>217</v>
      </c>
      <c r="E61" s="53" t="n">
        <v>1370</v>
      </c>
      <c r="F61" s="53" t="n">
        <v>568</v>
      </c>
      <c r="G61" s="57" t="n">
        <v>37.02</v>
      </c>
      <c r="H61" s="53" t="n">
        <v>18510</v>
      </c>
      <c r="I61" s="53" t="n">
        <v>8034</v>
      </c>
      <c r="J61" s="55" t="n">
        <v>0.096</v>
      </c>
      <c r="K61" s="55" t="n">
        <v>0.132</v>
      </c>
      <c r="L61" s="53" t="n">
        <v>343</v>
      </c>
      <c r="M61" s="18" t="s">
        <v>510</v>
      </c>
    </row>
    <row r="62" customFormat="false" ht="15" hidden="false" customHeight="true" outlineLevel="0" collapsed="false">
      <c r="A62" s="21" t="s">
        <v>381</v>
      </c>
      <c r="B62" s="53" t="n">
        <v>1459</v>
      </c>
      <c r="C62" s="55" t="n">
        <v>0.183</v>
      </c>
      <c r="D62" s="53" t="n">
        <v>460</v>
      </c>
      <c r="E62" s="53" t="n">
        <v>859</v>
      </c>
      <c r="F62" s="53" t="n">
        <v>40</v>
      </c>
      <c r="G62" s="57" t="n">
        <v>40.93</v>
      </c>
      <c r="H62" s="53" t="n">
        <v>24528</v>
      </c>
      <c r="I62" s="53" t="n">
        <v>660</v>
      </c>
      <c r="J62" s="55" t="n">
        <v>0.148</v>
      </c>
      <c r="K62" s="55" t="n">
        <v>0.15</v>
      </c>
      <c r="L62" s="53" t="n">
        <v>0</v>
      </c>
      <c r="M62" s="18" t="s">
        <v>511</v>
      </c>
    </row>
    <row r="63" customFormat="false" ht="15" hidden="false" customHeight="true" outlineLevel="0" collapsed="false">
      <c r="A63" s="21" t="s">
        <v>383</v>
      </c>
      <c r="B63" s="53" t="n">
        <v>1603</v>
      </c>
      <c r="C63" s="55" t="n">
        <v>0.205</v>
      </c>
      <c r="D63" s="53" t="n">
        <v>525</v>
      </c>
      <c r="E63" s="53" t="n">
        <v>855</v>
      </c>
      <c r="F63" s="53" t="n">
        <v>296</v>
      </c>
      <c r="G63" s="57" t="n">
        <v>40.69</v>
      </c>
      <c r="H63" s="53" t="n">
        <v>24384</v>
      </c>
      <c r="I63" s="53" t="n">
        <v>4660</v>
      </c>
      <c r="J63" s="55" t="n">
        <v>0.12</v>
      </c>
      <c r="K63" s="55" t="n">
        <v>0.142</v>
      </c>
      <c r="L63" s="53" t="n">
        <v>45</v>
      </c>
      <c r="M63" s="18" t="s">
        <v>512</v>
      </c>
    </row>
    <row r="64" customFormat="false" ht="15" hidden="false" customHeight="true" outlineLevel="0" collapsed="false">
      <c r="A64" s="21" t="s">
        <v>385</v>
      </c>
      <c r="B64" s="53" t="n">
        <v>1867</v>
      </c>
      <c r="C64" s="55" t="n">
        <v>0.204</v>
      </c>
      <c r="D64" s="53" t="n">
        <v>215</v>
      </c>
      <c r="E64" s="53" t="n">
        <v>389</v>
      </c>
      <c r="F64" s="53" t="n">
        <v>172</v>
      </c>
      <c r="G64" s="57" t="n">
        <v>40.29</v>
      </c>
      <c r="H64" s="53" t="n">
        <v>24174</v>
      </c>
      <c r="I64" s="53" t="n">
        <v>3134</v>
      </c>
      <c r="J64" s="55" t="n">
        <v>0.118</v>
      </c>
      <c r="K64" s="55" t="n">
        <v>0.138</v>
      </c>
      <c r="L64" s="53" t="n">
        <v>191</v>
      </c>
      <c r="M64" s="18" t="s">
        <v>513</v>
      </c>
    </row>
    <row r="65" customFormat="false" ht="51.75" hidden="false" customHeight="true" outlineLevel="0" collapsed="false">
      <c r="A65" s="18" t="s">
        <v>514</v>
      </c>
      <c r="B65" s="21" t="s">
        <v>515</v>
      </c>
    </row>
    <row r="66" customFormat="false" ht="26.25" hidden="false" customHeight="true" outlineLevel="0" collapsed="false">
      <c r="A66" s="21" t="s">
        <v>516</v>
      </c>
      <c r="B66" s="18" t="s">
        <v>517</v>
      </c>
    </row>
    <row r="67" customFormat="false" ht="26.25" hidden="false" customHeight="true" outlineLevel="0" collapsed="false">
      <c r="A67" s="21" t="s">
        <v>518</v>
      </c>
      <c r="B67" s="18" t="s">
        <v>519</v>
      </c>
    </row>
    <row r="68" customFormat="false" ht="26.25" hidden="false" customHeight="true" outlineLevel="0" collapsed="false">
      <c r="A68" s="21" t="s">
        <v>520</v>
      </c>
      <c r="B68" s="18" t="s">
        <v>521</v>
      </c>
    </row>
    <row r="70" customFormat="false" ht="15" hidden="false" customHeight="true" outlineLevel="0" collapsed="false">
      <c r="A70" s="52" t="s">
        <v>522</v>
      </c>
    </row>
    <row r="71" customFormat="false" ht="15" hidden="false" customHeight="true" outlineLevel="0" collapsed="false">
      <c r="A71" s="13" t="s">
        <v>400</v>
      </c>
      <c r="B71" s="13" t="s">
        <v>401</v>
      </c>
      <c r="C71" s="13" t="s">
        <v>402</v>
      </c>
    </row>
    <row r="72" customFormat="false" ht="39" hidden="false" customHeight="true" outlineLevel="0" collapsed="false">
      <c r="A72" s="21" t="s">
        <v>523</v>
      </c>
      <c r="B72" s="18" t="s">
        <v>524</v>
      </c>
      <c r="C72" s="21" t="s">
        <v>525</v>
      </c>
    </row>
    <row r="73" customFormat="false" ht="39" hidden="false" customHeight="true" outlineLevel="0" collapsed="false">
      <c r="A73" s="18" t="s">
        <v>526</v>
      </c>
      <c r="B73" s="21" t="s">
        <v>527</v>
      </c>
      <c r="C73" s="21" t="s">
        <v>528</v>
      </c>
    </row>
    <row r="74" customFormat="false" ht="26.25" hidden="false" customHeight="true" outlineLevel="0" collapsed="false">
      <c r="A74" s="18" t="s">
        <v>529</v>
      </c>
      <c r="B74" s="21" t="s">
        <v>530</v>
      </c>
      <c r="C74" s="21" t="s">
        <v>531</v>
      </c>
    </row>
    <row r="75" customFormat="false" ht="15" hidden="false" customHeight="true" outlineLevel="0" collapsed="false">
      <c r="A75" s="21" t="s">
        <v>532</v>
      </c>
      <c r="B75" s="18" t="s">
        <v>533</v>
      </c>
      <c r="C75" s="21" t="s">
        <v>534</v>
      </c>
    </row>
    <row r="76" customFormat="false" ht="26.25" hidden="false" customHeight="true" outlineLevel="0" collapsed="false">
      <c r="A76" s="21" t="s">
        <v>535</v>
      </c>
      <c r="B76" s="18" t="s">
        <v>536</v>
      </c>
      <c r="C76" s="21" t="s">
        <v>537</v>
      </c>
    </row>
    <row r="78" customFormat="false" ht="15" hidden="false" customHeight="true" outlineLevel="0" collapsed="false">
      <c r="A78" s="52" t="s">
        <v>538</v>
      </c>
    </row>
    <row r="79" customFormat="false" ht="15" hidden="false" customHeight="true" outlineLevel="0" collapsed="false">
      <c r="A79" s="13" t="s">
        <v>419</v>
      </c>
      <c r="B79" s="13" t="s">
        <v>420</v>
      </c>
      <c r="C79" s="13" t="s">
        <v>421</v>
      </c>
    </row>
    <row r="80" customFormat="false" ht="15" hidden="false" customHeight="true" outlineLevel="0" collapsed="false">
      <c r="A80" s="18" t="s">
        <v>423</v>
      </c>
      <c r="B80" s="21" t="s">
        <v>539</v>
      </c>
      <c r="C80" s="18" t="s">
        <v>429</v>
      </c>
    </row>
    <row r="81" customFormat="false" ht="15" hidden="false" customHeight="true" outlineLevel="0" collapsed="false">
      <c r="A81" s="18" t="s">
        <v>427</v>
      </c>
      <c r="B81" s="21" t="s">
        <v>540</v>
      </c>
      <c r="C81" s="18" t="s">
        <v>429</v>
      </c>
    </row>
    <row r="82" customFormat="false" ht="15" hidden="false" customHeight="true" outlineLevel="0" collapsed="false">
      <c r="A82" s="18" t="s">
        <v>431</v>
      </c>
      <c r="B82" s="21" t="s">
        <v>541</v>
      </c>
      <c r="C82" s="18" t="s">
        <v>429</v>
      </c>
    </row>
    <row r="83" customFormat="false" ht="15" hidden="false" customHeight="true" outlineLevel="0" collapsed="false">
      <c r="A83" s="21" t="s">
        <v>433</v>
      </c>
      <c r="B83" s="21" t="s">
        <v>542</v>
      </c>
      <c r="C83" s="18" t="s">
        <v>425</v>
      </c>
    </row>
    <row r="84" customFormat="false" ht="15" hidden="false" customHeight="true" outlineLevel="0" collapsed="false">
      <c r="A84" s="21" t="s">
        <v>436</v>
      </c>
      <c r="B84" s="21" t="s">
        <v>543</v>
      </c>
      <c r="C84" s="18" t="s">
        <v>429</v>
      </c>
    </row>
    <row r="85" customFormat="false" ht="15" hidden="false" customHeight="true" outlineLevel="0" collapsed="false">
      <c r="A85" s="18" t="s">
        <v>440</v>
      </c>
      <c r="B85" s="21" t="s">
        <v>544</v>
      </c>
      <c r="C85" s="18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selection pane="top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50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60"/>
  </cols>
  <sheetData>
    <row r="1" customFormat="false" ht="17.25" hidden="false" customHeight="true" outlineLevel="0" collapsed="false">
      <c r="A1" s="2" t="s">
        <v>545</v>
      </c>
    </row>
    <row r="2" customFormat="false" ht="63.75" hidden="false" customHeight="true" outlineLevel="0" collapsed="false">
      <c r="A2" s="51" t="s">
        <v>546</v>
      </c>
    </row>
    <row r="4" customFormat="false" ht="15" hidden="false" customHeight="true" outlineLevel="0" collapsed="false">
      <c r="A4" s="52" t="s">
        <v>445</v>
      </c>
    </row>
    <row r="5" customFormat="false" ht="15" hidden="false" customHeight="true" outlineLevel="0" collapsed="false">
      <c r="A5" s="13" t="s">
        <v>2</v>
      </c>
      <c r="B5" s="13" t="s">
        <v>260</v>
      </c>
      <c r="C5" s="13" t="s">
        <v>261</v>
      </c>
      <c r="D5" s="13" t="s">
        <v>262</v>
      </c>
      <c r="E5" s="13" t="s">
        <v>263</v>
      </c>
      <c r="F5" s="13" t="s">
        <v>264</v>
      </c>
    </row>
    <row r="6" customFormat="false" ht="55.5" hidden="false" customHeight="true" outlineLevel="0" collapsed="false">
      <c r="A6" s="21" t="s">
        <v>547</v>
      </c>
      <c r="B6" s="21" t="s">
        <v>548</v>
      </c>
      <c r="C6" s="53" t="n">
        <v>680</v>
      </c>
      <c r="D6" s="53" t="n">
        <v>585</v>
      </c>
      <c r="E6" s="54" t="n">
        <f aca="false">D6-C6</f>
        <v>-95</v>
      </c>
      <c r="F6" s="18" t="s">
        <v>549</v>
      </c>
    </row>
    <row r="7" customFormat="false" ht="15" hidden="false" customHeight="true" outlineLevel="0" collapsed="false">
      <c r="A7" s="21" t="s">
        <v>280</v>
      </c>
      <c r="B7" s="21" t="s">
        <v>550</v>
      </c>
      <c r="C7" s="53" t="n">
        <v>900</v>
      </c>
      <c r="D7" s="53" t="n">
        <v>968</v>
      </c>
      <c r="E7" s="54" t="n">
        <f aca="false">D7-C7</f>
        <v>68</v>
      </c>
      <c r="F7" s="18" t="s">
        <v>551</v>
      </c>
    </row>
    <row r="8" customFormat="false" ht="28.5" hidden="false" customHeight="true" outlineLevel="0" collapsed="false">
      <c r="A8" s="21" t="s">
        <v>282</v>
      </c>
      <c r="B8" s="21" t="s">
        <v>552</v>
      </c>
      <c r="C8" s="53" t="n">
        <v>450</v>
      </c>
      <c r="D8" s="53" t="n">
        <v>473</v>
      </c>
      <c r="E8" s="54" t="n">
        <f aca="false">D8-C8</f>
        <v>23</v>
      </c>
      <c r="F8" s="18" t="s">
        <v>553</v>
      </c>
    </row>
    <row r="9" customFormat="false" ht="15" hidden="false" customHeight="true" outlineLevel="0" collapsed="false">
      <c r="A9" s="21" t="s">
        <v>283</v>
      </c>
      <c r="B9" s="21" t="s">
        <v>554</v>
      </c>
      <c r="C9" s="53" t="n">
        <v>360</v>
      </c>
      <c r="D9" s="53" t="n">
        <v>374</v>
      </c>
      <c r="E9" s="54" t="n">
        <f aca="false">D9-C9</f>
        <v>14</v>
      </c>
      <c r="F9" s="18" t="s">
        <v>555</v>
      </c>
    </row>
    <row r="10" customFormat="false" ht="15" hidden="false" customHeight="true" outlineLevel="0" collapsed="false">
      <c r="A10" s="18" t="s">
        <v>277</v>
      </c>
      <c r="B10" s="18" t="s">
        <v>281</v>
      </c>
      <c r="C10" s="53" t="n">
        <v>2390</v>
      </c>
      <c r="D10" s="53" t="n">
        <v>2400</v>
      </c>
      <c r="E10" s="54" t="n">
        <f aca="false">D10-C10</f>
        <v>10</v>
      </c>
      <c r="F10" s="18" t="s">
        <v>556</v>
      </c>
    </row>
    <row r="11" customFormat="false" ht="15" hidden="false" customHeight="true" outlineLevel="0" collapsed="false">
      <c r="A11" s="21" t="s">
        <v>268</v>
      </c>
      <c r="B11" s="21" t="s">
        <v>452</v>
      </c>
      <c r="C11" s="55" t="n">
        <v>0.083</v>
      </c>
      <c r="D11" s="55" t="n">
        <v>0.091</v>
      </c>
      <c r="E11" s="56" t="n">
        <f aca="false">D11-C11</f>
        <v>0.00799999999999999</v>
      </c>
      <c r="F11" s="18" t="s">
        <v>557</v>
      </c>
    </row>
    <row r="12" customFormat="false" ht="15" hidden="false" customHeight="true" outlineLevel="0" collapsed="false">
      <c r="A12" s="21" t="s">
        <v>271</v>
      </c>
      <c r="B12" s="21" t="s">
        <v>452</v>
      </c>
      <c r="C12" s="55" t="n">
        <v>0.051</v>
      </c>
      <c r="D12" s="55" t="n">
        <v>0.044</v>
      </c>
      <c r="E12" s="56" t="n">
        <f aca="false">D12-C12</f>
        <v>-0.007</v>
      </c>
      <c r="F12" s="18" t="s">
        <v>558</v>
      </c>
    </row>
    <row r="13" customFormat="false" ht="15" hidden="false" customHeight="true" outlineLevel="0" collapsed="false">
      <c r="A13" s="21" t="s">
        <v>274</v>
      </c>
      <c r="B13" s="21" t="s">
        <v>452</v>
      </c>
      <c r="C13" s="55" t="n">
        <v>0.033</v>
      </c>
      <c r="D13" s="55" t="n">
        <v>0.035</v>
      </c>
      <c r="E13" s="56" t="n">
        <f aca="false">D13-C13</f>
        <v>0.002</v>
      </c>
      <c r="F13" s="18" t="s">
        <v>559</v>
      </c>
    </row>
    <row r="14" customFormat="false" ht="15" hidden="false" customHeight="true" outlineLevel="0" collapsed="false">
      <c r="A14" s="18" t="s">
        <v>287</v>
      </c>
      <c r="B14" s="21" t="s">
        <v>560</v>
      </c>
      <c r="C14" s="53" t="n">
        <v>96</v>
      </c>
      <c r="D14" s="53" t="n">
        <v>450</v>
      </c>
      <c r="E14" s="54" t="n">
        <f aca="false">D14-C14</f>
        <v>354</v>
      </c>
      <c r="F14" s="21" t="s">
        <v>561</v>
      </c>
    </row>
    <row r="15" customFormat="false" ht="28.5" hidden="false" customHeight="true" outlineLevel="0" collapsed="false">
      <c r="A15" s="18" t="s">
        <v>290</v>
      </c>
      <c r="B15" s="21" t="s">
        <v>291</v>
      </c>
      <c r="C15" s="53" t="n">
        <v>59408</v>
      </c>
      <c r="D15" s="53" t="n">
        <v>58444</v>
      </c>
      <c r="E15" s="54" t="n">
        <f aca="false">D15-C15</f>
        <v>-964</v>
      </c>
      <c r="F15" s="21" t="s">
        <v>562</v>
      </c>
    </row>
    <row r="16" customFormat="false" ht="15" hidden="false" customHeight="true" outlineLevel="0" collapsed="false">
      <c r="A16" s="21" t="s">
        <v>293</v>
      </c>
      <c r="B16" s="21" t="s">
        <v>291</v>
      </c>
      <c r="C16" s="53" t="n">
        <v>39318</v>
      </c>
      <c r="D16" s="53" t="n">
        <v>39023</v>
      </c>
      <c r="E16" s="54" t="n">
        <f aca="false">D16-C16</f>
        <v>-295</v>
      </c>
      <c r="F16" s="21" t="s">
        <v>563</v>
      </c>
    </row>
    <row r="17" customFormat="false" ht="15" hidden="false" customHeight="true" outlineLevel="0" collapsed="false">
      <c r="A17" s="18" t="s">
        <v>295</v>
      </c>
      <c r="B17" s="21" t="s">
        <v>291</v>
      </c>
      <c r="C17" s="55" t="n">
        <v>0.338</v>
      </c>
      <c r="D17" s="55" t="n">
        <v>0.332</v>
      </c>
      <c r="E17" s="56" t="n">
        <f aca="false">D17-C17</f>
        <v>-0.00600000000000001</v>
      </c>
      <c r="F17" s="18" t="s">
        <v>564</v>
      </c>
    </row>
    <row r="18" customFormat="false" ht="15" hidden="false" customHeight="true" outlineLevel="0" collapsed="false">
      <c r="A18" s="21" t="s">
        <v>297</v>
      </c>
      <c r="B18" s="21" t="s">
        <v>291</v>
      </c>
      <c r="C18" s="53" t="n">
        <v>1553</v>
      </c>
      <c r="D18" s="53" t="n">
        <v>1558</v>
      </c>
      <c r="E18" s="54" t="n">
        <f aca="false">D18-C18</f>
        <v>5</v>
      </c>
      <c r="F18" s="18" t="s">
        <v>304</v>
      </c>
    </row>
    <row r="19" customFormat="false" ht="42" hidden="false" customHeight="true" outlineLevel="0" collapsed="false">
      <c r="A19" s="18" t="s">
        <v>299</v>
      </c>
      <c r="B19" s="21" t="s">
        <v>291</v>
      </c>
      <c r="C19" s="53" t="n">
        <v>9680</v>
      </c>
      <c r="D19" s="53" t="n">
        <v>9242</v>
      </c>
      <c r="E19" s="54" t="n">
        <f aca="false">D19-C19</f>
        <v>-438</v>
      </c>
      <c r="F19" s="18" t="s">
        <v>565</v>
      </c>
    </row>
    <row r="20" customFormat="false" ht="15" hidden="false" customHeight="true" outlineLevel="0" collapsed="false">
      <c r="A20" s="18" t="s">
        <v>301</v>
      </c>
      <c r="B20" s="21" t="s">
        <v>566</v>
      </c>
      <c r="C20" s="53" t="n">
        <v>3959</v>
      </c>
      <c r="D20" s="53" t="n">
        <v>2332</v>
      </c>
      <c r="E20" s="54" t="n">
        <f aca="false">D20-C20</f>
        <v>-1627</v>
      </c>
      <c r="F20" s="21" t="s">
        <v>567</v>
      </c>
    </row>
    <row r="21" customFormat="false" ht="15" hidden="false" customHeight="true" outlineLevel="0" collapsed="false">
      <c r="A21" s="18" t="s">
        <v>371</v>
      </c>
      <c r="B21" s="21" t="s">
        <v>291</v>
      </c>
      <c r="C21" s="53" t="n">
        <v>0</v>
      </c>
      <c r="D21" s="53" t="n">
        <v>65</v>
      </c>
      <c r="E21" s="54" t="n">
        <f aca="false">D21-C21</f>
        <v>65</v>
      </c>
      <c r="F21" s="18" t="s">
        <v>568</v>
      </c>
    </row>
    <row r="22" customFormat="false" ht="28.5" hidden="false" customHeight="true" outlineLevel="0" collapsed="false">
      <c r="A22" s="21" t="s">
        <v>249</v>
      </c>
      <c r="B22" s="21" t="s">
        <v>569</v>
      </c>
      <c r="C22" s="18" t="s">
        <v>309</v>
      </c>
      <c r="D22" s="55" t="n">
        <v>0.225</v>
      </c>
      <c r="E22" s="21" t="s">
        <v>570</v>
      </c>
      <c r="F22" s="18" t="s">
        <v>571</v>
      </c>
    </row>
    <row r="23" customFormat="false" ht="15" hidden="false" customHeight="true" outlineLevel="0" collapsed="false">
      <c r="A23" s="18" t="s">
        <v>344</v>
      </c>
      <c r="B23" s="18" t="s">
        <v>572</v>
      </c>
      <c r="C23" s="18" t="s">
        <v>124</v>
      </c>
      <c r="D23" s="57" t="n">
        <v>104.63</v>
      </c>
      <c r="E23" s="21" t="s">
        <v>573</v>
      </c>
      <c r="F23" s="18" t="s">
        <v>574</v>
      </c>
    </row>
    <row r="24" customFormat="false" ht="42" hidden="false" customHeight="true" outlineLevel="0" collapsed="false">
      <c r="A24" s="18" t="s">
        <v>470</v>
      </c>
      <c r="B24" s="21" t="s">
        <v>471</v>
      </c>
      <c r="C24" s="18" t="s">
        <v>575</v>
      </c>
      <c r="D24" s="18" t="s">
        <v>576</v>
      </c>
      <c r="E24" s="18" t="s">
        <v>124</v>
      </c>
      <c r="F24" s="18" t="s">
        <v>577</v>
      </c>
    </row>
    <row r="25" customFormat="false" ht="15" hidden="false" customHeight="true" outlineLevel="0" collapsed="false">
      <c r="A25" s="18" t="s">
        <v>265</v>
      </c>
      <c r="B25" s="18" t="s">
        <v>306</v>
      </c>
      <c r="C25" s="18" t="s">
        <v>124</v>
      </c>
      <c r="D25" s="53" t="n">
        <v>10670</v>
      </c>
      <c r="E25" s="18" t="s">
        <v>124</v>
      </c>
      <c r="F25" s="18" t="s">
        <v>578</v>
      </c>
    </row>
    <row r="27" customFormat="false" ht="26.25" hidden="false" customHeight="true" outlineLevel="0" collapsed="false">
      <c r="A27" s="52" t="s">
        <v>579</v>
      </c>
    </row>
    <row r="28" customFormat="false" ht="15" hidden="false" customHeight="true" outlineLevel="0" collapsed="false">
      <c r="A28" s="13" t="s">
        <v>2</v>
      </c>
      <c r="B28" s="52" t="s">
        <v>71</v>
      </c>
      <c r="C28" s="52" t="s">
        <v>72</v>
      </c>
      <c r="D28" s="13" t="s">
        <v>314</v>
      </c>
      <c r="E28" s="13" t="s">
        <v>264</v>
      </c>
    </row>
    <row r="29" customFormat="false" ht="136.5" hidden="false" customHeight="true" outlineLevel="0" collapsed="false">
      <c r="A29" s="18" t="s">
        <v>290</v>
      </c>
      <c r="B29" s="53" t="n">
        <v>32507</v>
      </c>
      <c r="C29" s="53" t="n">
        <v>58444</v>
      </c>
      <c r="D29" s="56" t="n">
        <f aca="false">IFERROR((C29-B29)/B29,"—")</f>
        <v>0.797889685298551</v>
      </c>
      <c r="E29" s="18" t="s">
        <v>580</v>
      </c>
    </row>
    <row r="30" customFormat="false" ht="82.5" hidden="false" customHeight="true" outlineLevel="0" collapsed="false">
      <c r="A30" s="21" t="s">
        <v>293</v>
      </c>
      <c r="B30" s="53" t="n">
        <v>24225</v>
      </c>
      <c r="C30" s="53" t="n">
        <v>39023</v>
      </c>
      <c r="D30" s="56" t="n">
        <f aca="false">IFERROR((C30-B30)/B30,"—")</f>
        <v>0.610856553147575</v>
      </c>
      <c r="E30" s="18" t="s">
        <v>581</v>
      </c>
    </row>
    <row r="31" customFormat="false" ht="55.5" hidden="false" customHeight="true" outlineLevel="0" collapsed="false">
      <c r="A31" s="18" t="s">
        <v>295</v>
      </c>
      <c r="B31" s="55" t="n">
        <v>0.255</v>
      </c>
      <c r="C31" s="55" t="n">
        <v>0.332</v>
      </c>
      <c r="D31" s="56" t="n">
        <f aca="false">C31-B31</f>
        <v>0.077</v>
      </c>
      <c r="E31" s="21" t="s">
        <v>582</v>
      </c>
    </row>
    <row r="32" customFormat="false" ht="55.5" hidden="false" customHeight="true" outlineLevel="0" collapsed="false">
      <c r="A32" s="18" t="s">
        <v>318</v>
      </c>
      <c r="B32" s="53" t="n">
        <v>675</v>
      </c>
      <c r="C32" s="53" t="n">
        <v>1105</v>
      </c>
      <c r="D32" s="56" t="n">
        <f aca="false">IFERROR((C32-B32)/B32,"—")</f>
        <v>0.637037037037037</v>
      </c>
      <c r="E32" s="21" t="s">
        <v>583</v>
      </c>
    </row>
    <row r="33" customFormat="false" ht="109.5" hidden="false" customHeight="true" outlineLevel="0" collapsed="false">
      <c r="A33" s="18" t="s">
        <v>320</v>
      </c>
      <c r="B33" s="53" t="n">
        <v>1868</v>
      </c>
      <c r="C33" s="53" t="n">
        <v>2596</v>
      </c>
      <c r="D33" s="56" t="n">
        <f aca="false">IFERROR((C33-B33)/B33,"—")</f>
        <v>0.389721627408994</v>
      </c>
      <c r="E33" s="21" t="s">
        <v>584</v>
      </c>
    </row>
    <row r="34" customFormat="false" ht="55.5" hidden="false" customHeight="true" outlineLevel="0" collapsed="false">
      <c r="A34" s="21" t="s">
        <v>297</v>
      </c>
      <c r="B34" s="53" t="n">
        <v>1193</v>
      </c>
      <c r="C34" s="53" t="n">
        <v>1558</v>
      </c>
      <c r="D34" s="56" t="n">
        <f aca="false">IFERROR((C34-B34)/B34,"—")</f>
        <v>0.305951383067896</v>
      </c>
      <c r="E34" s="18" t="s">
        <v>585</v>
      </c>
    </row>
    <row r="35" customFormat="false" ht="55.5" hidden="false" customHeight="true" outlineLevel="0" collapsed="false">
      <c r="A35" s="18" t="s">
        <v>323</v>
      </c>
      <c r="B35" s="53" t="n">
        <v>4546</v>
      </c>
      <c r="C35" s="53" t="n">
        <v>14162</v>
      </c>
      <c r="D35" s="56" t="n">
        <f aca="false">IFERROR((C35-B35)/B35,"—")</f>
        <v>2.11526616805983</v>
      </c>
      <c r="E35" s="18" t="s">
        <v>586</v>
      </c>
    </row>
    <row r="36" customFormat="false" ht="28.5" hidden="false" customHeight="true" outlineLevel="0" collapsed="false">
      <c r="A36" s="18" t="s">
        <v>587</v>
      </c>
      <c r="B36" s="53" t="n">
        <v>0</v>
      </c>
      <c r="C36" s="53" t="n">
        <v>-60</v>
      </c>
      <c r="D36" s="18" t="s">
        <v>124</v>
      </c>
      <c r="E36" s="21" t="s">
        <v>588</v>
      </c>
    </row>
    <row r="37" customFormat="false" ht="28.5" hidden="false" customHeight="true" outlineLevel="0" collapsed="false">
      <c r="A37" s="18" t="s">
        <v>299</v>
      </c>
      <c r="B37" s="53" t="n">
        <v>2945</v>
      </c>
      <c r="C37" s="53" t="n">
        <v>9242</v>
      </c>
      <c r="D37" s="56" t="n">
        <f aca="false">IFERROR((C37-B37)/B37,"—")</f>
        <v>2.13820033955857</v>
      </c>
      <c r="E37" s="18" t="s">
        <v>484</v>
      </c>
    </row>
    <row r="38" customFormat="false" ht="28.5" hidden="false" customHeight="true" outlineLevel="0" collapsed="false">
      <c r="A38" s="21" t="s">
        <v>328</v>
      </c>
      <c r="B38" s="57" t="n">
        <v>4.09</v>
      </c>
      <c r="C38" s="57" t="n">
        <v>12.84</v>
      </c>
      <c r="D38" s="56" t="n">
        <f aca="false">IFERROR((C38-B38)/B38,"—")</f>
        <v>2.13936430317848</v>
      </c>
      <c r="E38" s="18" t="s">
        <v>589</v>
      </c>
    </row>
    <row r="39" customFormat="false" ht="15" hidden="false" customHeight="true" outlineLevel="0" collapsed="false">
      <c r="A39" s="18" t="s">
        <v>330</v>
      </c>
      <c r="B39" s="55" t="n">
        <v>0.091</v>
      </c>
      <c r="C39" s="55" t="n">
        <v>0.158</v>
      </c>
      <c r="D39" s="56" t="n">
        <f aca="false">C39-B39</f>
        <v>0.067</v>
      </c>
      <c r="E39" s="18" t="s">
        <v>124</v>
      </c>
    </row>
    <row r="40" customFormat="false" ht="96" hidden="false" customHeight="true" outlineLevel="0" collapsed="false">
      <c r="A40" s="18" t="s">
        <v>332</v>
      </c>
      <c r="B40" s="53" t="n">
        <v>1400</v>
      </c>
      <c r="C40" s="53" t="n">
        <v>2332</v>
      </c>
      <c r="D40" s="56" t="n">
        <f aca="false">IFERROR((C40-B40)/B40,"—")</f>
        <v>0.665714285714286</v>
      </c>
      <c r="E40" s="18" t="s">
        <v>590</v>
      </c>
    </row>
    <row r="41" customFormat="false" ht="15" hidden="false" customHeight="true" outlineLevel="0" collapsed="false">
      <c r="A41" s="18" t="s">
        <v>334</v>
      </c>
      <c r="B41" s="53" t="n">
        <v>0</v>
      </c>
      <c r="C41" s="53" t="n">
        <v>1372</v>
      </c>
      <c r="D41" s="18" t="s">
        <v>124</v>
      </c>
      <c r="E41" s="21" t="s">
        <v>591</v>
      </c>
    </row>
    <row r="42" customFormat="false" ht="15" hidden="false" customHeight="true" outlineLevel="0" collapsed="false">
      <c r="A42" s="18" t="s">
        <v>487</v>
      </c>
      <c r="B42" s="53" t="n">
        <v>2560</v>
      </c>
      <c r="C42" s="53" t="n">
        <v>4442</v>
      </c>
      <c r="D42" s="56" t="n">
        <f aca="false">IFERROR((C42-B42)/B42,"—")</f>
        <v>0.73515625</v>
      </c>
      <c r="E42" s="18" t="s">
        <v>488</v>
      </c>
    </row>
    <row r="43" customFormat="false" ht="42" hidden="false" customHeight="true" outlineLevel="0" collapsed="false">
      <c r="A43" s="18" t="s">
        <v>336</v>
      </c>
      <c r="B43" s="53" t="n">
        <v>17326</v>
      </c>
      <c r="C43" s="53" t="n">
        <v>23989</v>
      </c>
      <c r="D43" s="56" t="n">
        <f aca="false">IFERROR((C43-B43)/B43,"—")</f>
        <v>0.384566547385432</v>
      </c>
      <c r="E43" s="18" t="s">
        <v>592</v>
      </c>
    </row>
    <row r="44" customFormat="false" ht="15" hidden="false" customHeight="true" outlineLevel="0" collapsed="false">
      <c r="A44" s="18" t="s">
        <v>490</v>
      </c>
      <c r="B44" s="53" t="n">
        <v>0</v>
      </c>
      <c r="C44" s="53" t="n">
        <v>0</v>
      </c>
      <c r="D44" s="18" t="s">
        <v>124</v>
      </c>
      <c r="E44" s="18" t="s">
        <v>593</v>
      </c>
    </row>
    <row r="45" customFormat="false" ht="42" hidden="false" customHeight="true" outlineLevel="0" collapsed="false">
      <c r="A45" s="18" t="s">
        <v>340</v>
      </c>
      <c r="B45" s="53" t="n">
        <v>14351</v>
      </c>
      <c r="C45" s="53" t="n">
        <v>23493</v>
      </c>
      <c r="D45" s="56" t="n">
        <f aca="false">IFERROR((C45-B45)/B45,"—")</f>
        <v>0.637028778482336</v>
      </c>
      <c r="E45" s="18" t="s">
        <v>594</v>
      </c>
    </row>
    <row r="46" customFormat="false" ht="42" hidden="false" customHeight="true" outlineLevel="0" collapsed="false">
      <c r="A46" s="21" t="s">
        <v>342</v>
      </c>
      <c r="B46" s="55" t="n">
        <v>0.205</v>
      </c>
      <c r="C46" s="55" t="n">
        <v>0.393</v>
      </c>
      <c r="D46" s="56" t="n">
        <f aca="false">C46-B46</f>
        <v>0.188</v>
      </c>
      <c r="E46" s="18" t="s">
        <v>595</v>
      </c>
    </row>
    <row r="47" customFormat="false" ht="42" hidden="false" customHeight="true" outlineLevel="0" collapsed="false">
      <c r="A47" s="18" t="s">
        <v>344</v>
      </c>
      <c r="B47" s="57" t="n">
        <v>55.09</v>
      </c>
      <c r="C47" s="57" t="n">
        <v>104.63</v>
      </c>
      <c r="D47" s="56" t="n">
        <f aca="false">IFERROR((C47-B47)/B47,"—")</f>
        <v>0.899255763296424</v>
      </c>
      <c r="E47" s="18" t="s">
        <v>596</v>
      </c>
    </row>
    <row r="48" customFormat="false" ht="42" hidden="false" customHeight="true" outlineLevel="0" collapsed="false">
      <c r="A48" s="18" t="s">
        <v>346</v>
      </c>
      <c r="B48" s="53" t="n">
        <v>39664</v>
      </c>
      <c r="C48" s="53" t="n">
        <v>75332</v>
      </c>
      <c r="D48" s="56" t="n">
        <f aca="false">IFERROR((C48-B48)/B48,"—")</f>
        <v>0.899253731343284</v>
      </c>
      <c r="E48" s="18" t="s">
        <v>597</v>
      </c>
    </row>
    <row r="49" customFormat="false" ht="55.5" hidden="false" customHeight="true" outlineLevel="0" collapsed="false">
      <c r="A49" s="21" t="s">
        <v>249</v>
      </c>
      <c r="B49" s="55" t="n">
        <v>0.194</v>
      </c>
      <c r="C49" s="55" t="n">
        <v>0.225</v>
      </c>
      <c r="D49" s="56" t="n">
        <f aca="false">C49-B49</f>
        <v>0.031</v>
      </c>
      <c r="E49" s="21" t="s">
        <v>598</v>
      </c>
    </row>
    <row r="50" customFormat="false" ht="28.5" hidden="false" customHeight="true" outlineLevel="0" collapsed="false">
      <c r="A50" s="18" t="s">
        <v>497</v>
      </c>
      <c r="B50" s="55" t="n">
        <v>0.177</v>
      </c>
      <c r="C50" s="55" t="n">
        <v>0.225</v>
      </c>
      <c r="D50" s="56" t="n">
        <f aca="false">C50-B50</f>
        <v>0.048</v>
      </c>
      <c r="E50" s="18" t="s">
        <v>599</v>
      </c>
    </row>
    <row r="51" customFormat="false" ht="55.5" hidden="false" customHeight="true" outlineLevel="0" collapsed="false">
      <c r="A51" s="21" t="s">
        <v>280</v>
      </c>
      <c r="B51" s="53" t="n">
        <v>792</v>
      </c>
      <c r="C51" s="53" t="n">
        <v>968</v>
      </c>
      <c r="D51" s="56" t="n">
        <f aca="false">IFERROR((C51-B51)/B51,"—")</f>
        <v>0.222222222222222</v>
      </c>
      <c r="E51" s="18" t="s">
        <v>600</v>
      </c>
    </row>
    <row r="52" customFormat="false" ht="28.5" hidden="false" customHeight="true" outlineLevel="0" collapsed="false">
      <c r="A52" s="21" t="s">
        <v>350</v>
      </c>
      <c r="B52" s="53" t="n">
        <v>4598</v>
      </c>
      <c r="C52" s="53" t="n">
        <v>7688</v>
      </c>
      <c r="D52" s="56" t="n">
        <f aca="false">IFERROR((C52-B52)/B52,"—")</f>
        <v>0.672031317964332</v>
      </c>
      <c r="E52" s="21" t="s">
        <v>601</v>
      </c>
    </row>
    <row r="53" customFormat="false" ht="42" hidden="false" customHeight="true" outlineLevel="0" collapsed="false">
      <c r="A53" s="21" t="s">
        <v>547</v>
      </c>
      <c r="B53" s="53" t="n">
        <v>0</v>
      </c>
      <c r="C53" s="53" t="n">
        <v>585</v>
      </c>
      <c r="D53" s="18" t="s">
        <v>124</v>
      </c>
      <c r="E53" s="18" t="s">
        <v>602</v>
      </c>
    </row>
    <row r="54" customFormat="false" ht="42" hidden="false" customHeight="true" outlineLevel="0" collapsed="false">
      <c r="A54" s="21" t="s">
        <v>603</v>
      </c>
      <c r="B54" s="53" t="n">
        <v>0</v>
      </c>
      <c r="C54" s="53" t="n">
        <v>8109</v>
      </c>
      <c r="D54" s="18" t="s">
        <v>124</v>
      </c>
      <c r="E54" s="18" t="s">
        <v>604</v>
      </c>
    </row>
    <row r="55" customFormat="false" ht="55.5" hidden="false" customHeight="true" outlineLevel="0" collapsed="false">
      <c r="A55" s="21" t="s">
        <v>282</v>
      </c>
      <c r="B55" s="53" t="n">
        <v>528</v>
      </c>
      <c r="C55" s="53" t="n">
        <v>473</v>
      </c>
      <c r="D55" s="56" t="n">
        <f aca="false">IFERROR((C55-B55)/B55,"—")</f>
        <v>-0.104166666666667</v>
      </c>
      <c r="E55" s="18" t="s">
        <v>605</v>
      </c>
    </row>
    <row r="56" customFormat="false" ht="42" hidden="false" customHeight="true" outlineLevel="0" collapsed="false">
      <c r="A56" s="21" t="s">
        <v>353</v>
      </c>
      <c r="B56" s="53" t="n">
        <v>4042</v>
      </c>
      <c r="C56" s="53" t="n">
        <v>4062</v>
      </c>
      <c r="D56" s="56" t="n">
        <f aca="false">IFERROR((C56-B56)/B56,"—")</f>
        <v>0.0049480455220188</v>
      </c>
      <c r="E56" s="21" t="s">
        <v>606</v>
      </c>
    </row>
    <row r="57" customFormat="false" ht="28.5" hidden="false" customHeight="true" outlineLevel="0" collapsed="false">
      <c r="A57" s="21" t="s">
        <v>283</v>
      </c>
      <c r="B57" s="53" t="n">
        <v>362</v>
      </c>
      <c r="C57" s="53" t="n">
        <v>374</v>
      </c>
      <c r="D57" s="56" t="n">
        <f aca="false">IFERROR((C57-B57)/B57,"—")</f>
        <v>0.0331491712707182</v>
      </c>
      <c r="E57" s="18" t="s">
        <v>607</v>
      </c>
    </row>
    <row r="58" customFormat="false" ht="28.5" hidden="false" customHeight="true" outlineLevel="0" collapsed="false">
      <c r="A58" s="21" t="s">
        <v>356</v>
      </c>
      <c r="B58" s="53" t="n">
        <v>1099</v>
      </c>
      <c r="C58" s="53" t="n">
        <v>1557</v>
      </c>
      <c r="D58" s="56" t="n">
        <f aca="false">IFERROR((C58-B58)/B58,"—")</f>
        <v>0.416742493175614</v>
      </c>
      <c r="E58" s="21" t="s">
        <v>608</v>
      </c>
    </row>
    <row r="59" customFormat="false" ht="82.5" hidden="false" customHeight="true" outlineLevel="0" collapsed="false">
      <c r="A59" s="21" t="s">
        <v>360</v>
      </c>
      <c r="B59" s="53" t="n">
        <v>-1753</v>
      </c>
      <c r="C59" s="53" t="n">
        <v>3032</v>
      </c>
      <c r="D59" s="18" t="s">
        <v>124</v>
      </c>
      <c r="E59" s="18" t="s">
        <v>609</v>
      </c>
    </row>
    <row r="61" customFormat="false" ht="26.25" hidden="false" customHeight="true" outlineLevel="0" collapsed="false">
      <c r="A61" s="52" t="s">
        <v>610</v>
      </c>
    </row>
    <row r="62" customFormat="false" ht="15" hidden="false" customHeight="true" outlineLevel="0" collapsed="false">
      <c r="A62" s="13" t="s">
        <v>363</v>
      </c>
      <c r="B62" s="13" t="s">
        <v>364</v>
      </c>
      <c r="C62" s="13" t="s">
        <v>295</v>
      </c>
      <c r="D62" s="13" t="s">
        <v>365</v>
      </c>
      <c r="E62" s="13" t="s">
        <v>366</v>
      </c>
      <c r="F62" s="13" t="s">
        <v>367</v>
      </c>
      <c r="G62" s="13" t="s">
        <v>305</v>
      </c>
      <c r="H62" s="13" t="s">
        <v>368</v>
      </c>
      <c r="I62" s="13" t="s">
        <v>369</v>
      </c>
      <c r="J62" s="13" t="s">
        <v>370</v>
      </c>
      <c r="K62" s="13" t="s">
        <v>497</v>
      </c>
      <c r="L62" s="13" t="s">
        <v>371</v>
      </c>
      <c r="M62" s="13" t="s">
        <v>372</v>
      </c>
    </row>
    <row r="63" customFormat="false" ht="28.5" hidden="false" customHeight="true" outlineLevel="0" collapsed="false">
      <c r="A63" s="21" t="s">
        <v>373</v>
      </c>
      <c r="B63" s="53" t="n">
        <v>1730</v>
      </c>
      <c r="C63" s="55" t="n">
        <v>0.239</v>
      </c>
      <c r="D63" s="53" t="n">
        <v>225</v>
      </c>
      <c r="E63" s="53" t="n">
        <v>1578</v>
      </c>
      <c r="F63" s="53" t="n">
        <v>385</v>
      </c>
      <c r="G63" s="57" t="n">
        <v>42.78</v>
      </c>
      <c r="H63" s="53" t="n">
        <v>21390</v>
      </c>
      <c r="I63" s="53" t="n">
        <v>5927</v>
      </c>
      <c r="J63" s="55" t="n">
        <v>0.114</v>
      </c>
      <c r="K63" s="55" t="n">
        <v>0.113</v>
      </c>
      <c r="L63" s="53" t="n">
        <v>286</v>
      </c>
      <c r="M63" s="18" t="s">
        <v>611</v>
      </c>
    </row>
    <row r="64" customFormat="false" ht="15" hidden="false" customHeight="true" outlineLevel="0" collapsed="false">
      <c r="A64" s="21" t="s">
        <v>375</v>
      </c>
      <c r="B64" s="53" t="n">
        <v>3174</v>
      </c>
      <c r="C64" s="55" t="n">
        <v>0.232</v>
      </c>
      <c r="D64" s="53" t="n">
        <v>486</v>
      </c>
      <c r="E64" s="53" t="n">
        <v>606</v>
      </c>
      <c r="F64" s="53" t="n">
        <v>201</v>
      </c>
      <c r="G64" s="57" t="n">
        <v>57.78</v>
      </c>
      <c r="H64" s="53" t="n">
        <v>34625</v>
      </c>
      <c r="I64" s="53" t="n">
        <v>3660</v>
      </c>
      <c r="J64" s="55" t="n">
        <v>0.169</v>
      </c>
      <c r="K64" s="55" t="n">
        <v>0.155</v>
      </c>
      <c r="L64" s="53" t="n">
        <v>0</v>
      </c>
      <c r="M64" s="18" t="s">
        <v>612</v>
      </c>
    </row>
    <row r="65" customFormat="false" ht="28.5" hidden="false" customHeight="true" outlineLevel="0" collapsed="false">
      <c r="A65" s="21" t="s">
        <v>377</v>
      </c>
      <c r="B65" s="53" t="n">
        <v>9242</v>
      </c>
      <c r="C65" s="55" t="n">
        <v>0.332</v>
      </c>
      <c r="D65" s="53" t="n">
        <v>1105</v>
      </c>
      <c r="E65" s="53" t="n">
        <v>2596</v>
      </c>
      <c r="F65" s="53" t="n">
        <v>0</v>
      </c>
      <c r="G65" s="57" t="n">
        <v>104.63</v>
      </c>
      <c r="H65" s="53" t="n">
        <v>75332</v>
      </c>
      <c r="I65" s="53" t="n">
        <v>0</v>
      </c>
      <c r="J65" s="55" t="n">
        <v>0.225</v>
      </c>
      <c r="K65" s="55" t="n">
        <v>0.225</v>
      </c>
      <c r="L65" s="53" t="n">
        <v>65</v>
      </c>
      <c r="M65" s="21" t="s">
        <v>613</v>
      </c>
    </row>
    <row r="66" customFormat="false" ht="15" hidden="false" customHeight="true" outlineLevel="0" collapsed="false">
      <c r="A66" s="21" t="s">
        <v>379</v>
      </c>
      <c r="B66" s="53" t="n">
        <v>763</v>
      </c>
      <c r="C66" s="55" t="n">
        <v>0.171</v>
      </c>
      <c r="D66" s="53" t="n">
        <v>217</v>
      </c>
      <c r="E66" s="53" t="n">
        <v>490</v>
      </c>
      <c r="F66" s="53" t="n">
        <v>496</v>
      </c>
      <c r="G66" s="57" t="n">
        <v>22.67</v>
      </c>
      <c r="H66" s="53" t="n">
        <v>11335</v>
      </c>
      <c r="I66" s="53" t="n">
        <v>7734</v>
      </c>
      <c r="J66" s="55" t="n">
        <v>0.056</v>
      </c>
      <c r="K66" s="55" t="n">
        <v>0.11</v>
      </c>
      <c r="L66" s="53" t="n">
        <v>284</v>
      </c>
      <c r="M66" s="18" t="s">
        <v>614</v>
      </c>
    </row>
    <row r="67" customFormat="false" ht="15" hidden="false" customHeight="true" outlineLevel="0" collapsed="false">
      <c r="A67" s="21" t="s">
        <v>381</v>
      </c>
      <c r="B67" s="53" t="n">
        <v>2484</v>
      </c>
      <c r="C67" s="55" t="n">
        <v>0.22</v>
      </c>
      <c r="D67" s="53" t="n">
        <v>570</v>
      </c>
      <c r="E67" s="53" t="n">
        <v>903</v>
      </c>
      <c r="F67" s="53" t="n">
        <v>0</v>
      </c>
      <c r="G67" s="57" t="n">
        <v>50.38</v>
      </c>
      <c r="H67" s="53" t="n">
        <v>30191</v>
      </c>
      <c r="I67" s="53" t="n">
        <v>0</v>
      </c>
      <c r="J67" s="55" t="n">
        <v>0.16</v>
      </c>
      <c r="K67" s="55" t="n">
        <v>0.132</v>
      </c>
      <c r="L67" s="53" t="n">
        <v>62</v>
      </c>
      <c r="M67" s="18" t="s">
        <v>615</v>
      </c>
    </row>
    <row r="68" customFormat="false" ht="28.5" hidden="false" customHeight="true" outlineLevel="0" collapsed="false">
      <c r="A68" s="21" t="s">
        <v>383</v>
      </c>
      <c r="B68" s="53" t="n">
        <v>3399</v>
      </c>
      <c r="C68" s="55" t="n">
        <v>0.26</v>
      </c>
      <c r="D68" s="53" t="n">
        <v>910</v>
      </c>
      <c r="E68" s="53" t="n">
        <v>956</v>
      </c>
      <c r="F68" s="53" t="n">
        <v>110</v>
      </c>
      <c r="G68" s="57" t="n">
        <v>60.02</v>
      </c>
      <c r="H68" s="53" t="n">
        <v>35968</v>
      </c>
      <c r="I68" s="53" t="n">
        <v>2000</v>
      </c>
      <c r="J68" s="55" t="n">
        <v>0.211</v>
      </c>
      <c r="K68" s="55" t="n">
        <v>0.139</v>
      </c>
      <c r="L68" s="53" t="n">
        <v>3</v>
      </c>
      <c r="M68" s="18" t="s">
        <v>616</v>
      </c>
    </row>
    <row r="69" customFormat="false" ht="15" hidden="false" customHeight="true" outlineLevel="0" collapsed="false">
      <c r="A69" s="21" t="s">
        <v>385</v>
      </c>
      <c r="B69" s="53" t="n">
        <v>612</v>
      </c>
      <c r="C69" s="55" t="n">
        <v>0.194</v>
      </c>
      <c r="D69" s="53" t="n">
        <v>525</v>
      </c>
      <c r="E69" s="53" t="n">
        <v>1869</v>
      </c>
      <c r="F69" s="53" t="n">
        <v>214</v>
      </c>
      <c r="G69" s="57" t="n">
        <v>32.18</v>
      </c>
      <c r="H69" s="53" t="n">
        <v>19308</v>
      </c>
      <c r="I69" s="53" t="n">
        <v>3882</v>
      </c>
      <c r="J69" s="55" t="n">
        <v>0.065</v>
      </c>
      <c r="K69" s="55" t="n">
        <v>0.126</v>
      </c>
      <c r="L69" s="53" t="n">
        <v>163</v>
      </c>
      <c r="M69" s="18" t="s">
        <v>617</v>
      </c>
    </row>
    <row r="70" customFormat="false" ht="69" hidden="false" customHeight="true" outlineLevel="0" collapsed="false">
      <c r="A70" s="18" t="s">
        <v>514</v>
      </c>
      <c r="B70" s="18" t="s">
        <v>618</v>
      </c>
    </row>
    <row r="71" customFormat="false" ht="55.5" hidden="false" customHeight="true" outlineLevel="0" collapsed="false">
      <c r="A71" s="21" t="s">
        <v>619</v>
      </c>
      <c r="B71" s="18" t="s">
        <v>620</v>
      </c>
    </row>
    <row r="72" customFormat="false" ht="28.5" hidden="false" customHeight="true" outlineLevel="0" collapsed="false">
      <c r="A72" s="21" t="s">
        <v>375</v>
      </c>
      <c r="B72" s="18" t="s">
        <v>621</v>
      </c>
    </row>
    <row r="73" customFormat="false" ht="42" hidden="false" customHeight="true" outlineLevel="0" collapsed="false">
      <c r="A73" s="21" t="s">
        <v>622</v>
      </c>
      <c r="B73" s="21" t="s">
        <v>623</v>
      </c>
    </row>
    <row r="75" customFormat="false" ht="15" hidden="false" customHeight="true" outlineLevel="0" collapsed="false">
      <c r="A75" s="52" t="s">
        <v>522</v>
      </c>
    </row>
    <row r="76" customFormat="false" ht="15" hidden="false" customHeight="true" outlineLevel="0" collapsed="false">
      <c r="A76" s="13" t="s">
        <v>400</v>
      </c>
      <c r="B76" s="13" t="s">
        <v>401</v>
      </c>
      <c r="C76" s="13" t="s">
        <v>402</v>
      </c>
    </row>
    <row r="77" customFormat="false" ht="82.5" hidden="false" customHeight="true" outlineLevel="0" collapsed="false">
      <c r="A77" s="21" t="s">
        <v>624</v>
      </c>
      <c r="B77" s="18" t="s">
        <v>625</v>
      </c>
      <c r="C77" s="18" t="s">
        <v>626</v>
      </c>
    </row>
    <row r="78" customFormat="false" ht="82.5" hidden="false" customHeight="true" outlineLevel="0" collapsed="false">
      <c r="A78" s="21" t="s">
        <v>627</v>
      </c>
      <c r="B78" s="18" t="s">
        <v>628</v>
      </c>
      <c r="C78" s="18" t="s">
        <v>629</v>
      </c>
    </row>
    <row r="79" customFormat="false" ht="42" hidden="false" customHeight="true" outlineLevel="0" collapsed="false">
      <c r="A79" s="18" t="s">
        <v>630</v>
      </c>
      <c r="B79" s="18" t="s">
        <v>631</v>
      </c>
      <c r="C79" s="21" t="s">
        <v>632</v>
      </c>
    </row>
    <row r="80" customFormat="false" ht="55.5" hidden="false" customHeight="true" outlineLevel="0" collapsed="false">
      <c r="A80" s="18" t="s">
        <v>633</v>
      </c>
      <c r="B80" s="18" t="s">
        <v>634</v>
      </c>
      <c r="C80" s="21" t="s">
        <v>635</v>
      </c>
    </row>
    <row r="81" customFormat="false" ht="69" hidden="false" customHeight="true" outlineLevel="0" collapsed="false">
      <c r="A81" s="21" t="s">
        <v>636</v>
      </c>
      <c r="B81" s="18" t="s">
        <v>637</v>
      </c>
      <c r="C81" s="21" t="s">
        <v>638</v>
      </c>
    </row>
    <row r="83" customFormat="false" ht="15" hidden="false" customHeight="true" outlineLevel="0" collapsed="false">
      <c r="A83" s="52" t="s">
        <v>538</v>
      </c>
    </row>
    <row r="84" customFormat="false" ht="15" hidden="false" customHeight="true" outlineLevel="0" collapsed="false">
      <c r="A84" s="13" t="s">
        <v>419</v>
      </c>
      <c r="B84" s="13" t="s">
        <v>420</v>
      </c>
      <c r="C84" s="13" t="s">
        <v>421</v>
      </c>
    </row>
    <row r="85" customFormat="false" ht="15" hidden="false" customHeight="true" outlineLevel="0" collapsed="false">
      <c r="A85" s="18" t="s">
        <v>423</v>
      </c>
      <c r="B85" s="21" t="s">
        <v>639</v>
      </c>
      <c r="C85" s="18" t="s">
        <v>429</v>
      </c>
    </row>
    <row r="86" customFormat="false" ht="28.5" hidden="false" customHeight="true" outlineLevel="0" collapsed="false">
      <c r="A86" s="18" t="s">
        <v>427</v>
      </c>
      <c r="B86" s="21" t="s">
        <v>640</v>
      </c>
      <c r="C86" s="18" t="s">
        <v>429</v>
      </c>
    </row>
    <row r="87" customFormat="false" ht="28.5" hidden="false" customHeight="true" outlineLevel="0" collapsed="false">
      <c r="A87" s="18" t="s">
        <v>431</v>
      </c>
      <c r="B87" s="21" t="s">
        <v>641</v>
      </c>
      <c r="C87" s="18" t="s">
        <v>429</v>
      </c>
    </row>
    <row r="88" customFormat="false" ht="15" hidden="false" customHeight="true" outlineLevel="0" collapsed="false">
      <c r="A88" s="21" t="s">
        <v>433</v>
      </c>
      <c r="B88" s="21" t="s">
        <v>642</v>
      </c>
      <c r="C88" s="18" t="s">
        <v>429</v>
      </c>
    </row>
    <row r="89" customFormat="false" ht="15" hidden="false" customHeight="true" outlineLevel="0" collapsed="false">
      <c r="A89" s="21" t="s">
        <v>436</v>
      </c>
      <c r="B89" s="21" t="s">
        <v>643</v>
      </c>
      <c r="C89" s="18" t="s">
        <v>429</v>
      </c>
    </row>
    <row r="90" customFormat="false" ht="15" hidden="false" customHeight="true" outlineLevel="0" collapsed="false">
      <c r="A90" s="18" t="s">
        <v>440</v>
      </c>
      <c r="B90" s="21" t="s">
        <v>573</v>
      </c>
      <c r="C90" s="18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selection pane="top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50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60"/>
  </cols>
  <sheetData>
    <row r="1" customFormat="false" ht="17.25" hidden="false" customHeight="true" outlineLevel="0" collapsed="false">
      <c r="A1" s="2" t="s">
        <v>644</v>
      </c>
    </row>
    <row r="2" customFormat="false" ht="63.75" hidden="false" customHeight="true" outlineLevel="0" collapsed="false">
      <c r="A2" s="51" t="s">
        <v>645</v>
      </c>
    </row>
    <row r="4" customFormat="false" ht="15" hidden="false" customHeight="true" outlineLevel="0" collapsed="false">
      <c r="A4" s="52" t="s">
        <v>445</v>
      </c>
    </row>
    <row r="5" customFormat="false" ht="15" hidden="false" customHeight="true" outlineLevel="0" collapsed="false">
      <c r="A5" s="13" t="s">
        <v>2</v>
      </c>
      <c r="B5" s="13" t="s">
        <v>260</v>
      </c>
      <c r="C5" s="13" t="s">
        <v>261</v>
      </c>
      <c r="D5" s="13" t="s">
        <v>262</v>
      </c>
      <c r="E5" s="13" t="s">
        <v>263</v>
      </c>
      <c r="F5" s="13" t="s">
        <v>264</v>
      </c>
    </row>
    <row r="6" customFormat="false" ht="28.5" hidden="false" customHeight="true" outlineLevel="0" collapsed="false">
      <c r="A6" s="21" t="s">
        <v>280</v>
      </c>
      <c r="B6" s="18" t="s">
        <v>646</v>
      </c>
      <c r="C6" s="53" t="n">
        <v>1150</v>
      </c>
      <c r="D6" s="53" t="n">
        <v>1094</v>
      </c>
      <c r="E6" s="54" t="n">
        <f aca="false">D6-C6</f>
        <v>-56</v>
      </c>
      <c r="F6" s="18" t="s">
        <v>647</v>
      </c>
    </row>
    <row r="7" customFormat="false" ht="28.5" hidden="false" customHeight="true" outlineLevel="0" collapsed="false">
      <c r="A7" s="21" t="s">
        <v>547</v>
      </c>
      <c r="B7" s="18" t="s">
        <v>648</v>
      </c>
      <c r="C7" s="53" t="n">
        <v>665</v>
      </c>
      <c r="D7" s="53" t="n">
        <v>725</v>
      </c>
      <c r="E7" s="54" t="n">
        <f aca="false">D7-C7</f>
        <v>60</v>
      </c>
      <c r="F7" s="21" t="s">
        <v>649</v>
      </c>
    </row>
    <row r="8" customFormat="false" ht="28.5" hidden="false" customHeight="true" outlineLevel="0" collapsed="false">
      <c r="A8" s="21" t="s">
        <v>650</v>
      </c>
      <c r="B8" s="21" t="s">
        <v>651</v>
      </c>
      <c r="C8" s="53" t="n">
        <v>245</v>
      </c>
      <c r="D8" s="53" t="n">
        <v>264</v>
      </c>
      <c r="E8" s="54" t="n">
        <f aca="false">D8-C8</f>
        <v>19</v>
      </c>
      <c r="F8" s="21" t="s">
        <v>652</v>
      </c>
    </row>
    <row r="9" customFormat="false" ht="28.5" hidden="false" customHeight="true" outlineLevel="0" collapsed="false">
      <c r="A9" s="21" t="s">
        <v>283</v>
      </c>
      <c r="B9" s="21" t="s">
        <v>653</v>
      </c>
      <c r="C9" s="53" t="n">
        <v>320</v>
      </c>
      <c r="D9" s="53" t="n">
        <v>330</v>
      </c>
      <c r="E9" s="54" t="n">
        <f aca="false">D9-C9</f>
        <v>10</v>
      </c>
      <c r="F9" s="21" t="s">
        <v>654</v>
      </c>
    </row>
    <row r="10" customFormat="false" ht="15" hidden="false" customHeight="true" outlineLevel="0" collapsed="false">
      <c r="A10" s="21" t="s">
        <v>282</v>
      </c>
      <c r="B10" s="18" t="s">
        <v>655</v>
      </c>
      <c r="C10" s="53" t="n">
        <v>520</v>
      </c>
      <c r="D10" s="53" t="n">
        <v>502</v>
      </c>
      <c r="E10" s="54" t="n">
        <f aca="false">D10-C10</f>
        <v>-18</v>
      </c>
      <c r="F10" s="18" t="s">
        <v>656</v>
      </c>
    </row>
    <row r="11" customFormat="false" ht="15" hidden="false" customHeight="true" outlineLevel="0" collapsed="false">
      <c r="A11" s="18" t="s">
        <v>277</v>
      </c>
      <c r="B11" s="21" t="s">
        <v>291</v>
      </c>
      <c r="C11" s="53" t="n">
        <v>2900</v>
      </c>
      <c r="D11" s="53" t="n">
        <v>2915</v>
      </c>
      <c r="E11" s="54" t="n">
        <f aca="false">D11-C11</f>
        <v>15</v>
      </c>
      <c r="F11" s="18" t="s">
        <v>657</v>
      </c>
    </row>
    <row r="12" customFormat="false" ht="15" hidden="false" customHeight="true" outlineLevel="0" collapsed="false">
      <c r="A12" s="18" t="s">
        <v>290</v>
      </c>
      <c r="B12" s="21" t="s">
        <v>291</v>
      </c>
      <c r="C12" s="53" t="n">
        <v>78008</v>
      </c>
      <c r="D12" s="53" t="n">
        <v>79035</v>
      </c>
      <c r="E12" s="54" t="n">
        <f aca="false">D12-C12</f>
        <v>1027</v>
      </c>
      <c r="F12" s="18" t="s">
        <v>658</v>
      </c>
    </row>
    <row r="13" customFormat="false" ht="15" hidden="false" customHeight="true" outlineLevel="0" collapsed="false">
      <c r="A13" s="18" t="s">
        <v>295</v>
      </c>
      <c r="B13" s="21" t="s">
        <v>291</v>
      </c>
      <c r="C13" s="55" t="n">
        <v>0.361</v>
      </c>
      <c r="D13" s="55" t="n">
        <v>0.362</v>
      </c>
      <c r="E13" s="56" t="n">
        <f aca="false">D13-C13</f>
        <v>0.001</v>
      </c>
      <c r="F13" s="18" t="s">
        <v>304</v>
      </c>
    </row>
    <row r="14" customFormat="false" ht="15" hidden="false" customHeight="true" outlineLevel="0" collapsed="false">
      <c r="A14" s="21" t="s">
        <v>297</v>
      </c>
      <c r="B14" s="21" t="s">
        <v>291</v>
      </c>
      <c r="C14" s="53" t="n">
        <v>1850</v>
      </c>
      <c r="D14" s="53" t="n">
        <v>1857</v>
      </c>
      <c r="E14" s="54" t="n">
        <f aca="false">D14-C14</f>
        <v>7</v>
      </c>
      <c r="F14" s="18" t="s">
        <v>304</v>
      </c>
    </row>
    <row r="15" customFormat="false" ht="15" hidden="false" customHeight="true" outlineLevel="0" collapsed="false">
      <c r="A15" s="18" t="s">
        <v>299</v>
      </c>
      <c r="B15" s="21" t="s">
        <v>291</v>
      </c>
      <c r="C15" s="53" t="n">
        <v>15262</v>
      </c>
      <c r="D15" s="53" t="n">
        <v>15578</v>
      </c>
      <c r="E15" s="54" t="n">
        <f aca="false">D15-C15</f>
        <v>316</v>
      </c>
      <c r="F15" s="18" t="s">
        <v>659</v>
      </c>
    </row>
    <row r="16" customFormat="false" ht="15" hidden="false" customHeight="true" outlineLevel="0" collapsed="false">
      <c r="A16" s="18" t="s">
        <v>301</v>
      </c>
      <c r="B16" s="21" t="s">
        <v>660</v>
      </c>
      <c r="C16" s="53" t="n">
        <v>9274</v>
      </c>
      <c r="D16" s="53" t="n">
        <v>8564</v>
      </c>
      <c r="E16" s="54" t="n">
        <f aca="false">D16-C16</f>
        <v>-710</v>
      </c>
      <c r="F16" s="21" t="s">
        <v>661</v>
      </c>
    </row>
    <row r="17" customFormat="false" ht="15" hidden="false" customHeight="true" outlineLevel="0" collapsed="false">
      <c r="A17" s="18" t="s">
        <v>662</v>
      </c>
      <c r="B17" s="21" t="s">
        <v>663</v>
      </c>
      <c r="C17" s="55" t="n">
        <v>0.92</v>
      </c>
      <c r="D17" s="55" t="n">
        <v>0.959</v>
      </c>
      <c r="E17" s="56" t="n">
        <f aca="false">D17-C17</f>
        <v>0.0389999999999999</v>
      </c>
      <c r="F17" s="21" t="s">
        <v>664</v>
      </c>
    </row>
    <row r="18" customFormat="false" ht="15" hidden="false" customHeight="true" outlineLevel="0" collapsed="false">
      <c r="A18" s="18" t="s">
        <v>265</v>
      </c>
      <c r="B18" s="18" t="s">
        <v>665</v>
      </c>
      <c r="C18" s="53" t="n">
        <v>15604</v>
      </c>
      <c r="D18" s="53" t="n">
        <v>11999</v>
      </c>
      <c r="E18" s="54" t="n">
        <f aca="false">D18-C18</f>
        <v>-3605</v>
      </c>
      <c r="F18" s="18" t="s">
        <v>666</v>
      </c>
    </row>
    <row r="19" customFormat="false" ht="15" hidden="false" customHeight="true" outlineLevel="0" collapsed="false">
      <c r="A19" s="18" t="s">
        <v>344</v>
      </c>
      <c r="B19" s="18" t="s">
        <v>306</v>
      </c>
      <c r="C19" s="18" t="s">
        <v>124</v>
      </c>
      <c r="D19" s="57" t="n">
        <v>156.75</v>
      </c>
      <c r="E19" s="21" t="s">
        <v>667</v>
      </c>
      <c r="F19" s="18" t="s">
        <v>668</v>
      </c>
    </row>
    <row r="21" customFormat="false" ht="26.25" hidden="false" customHeight="true" outlineLevel="0" collapsed="false">
      <c r="A21" s="52" t="s">
        <v>669</v>
      </c>
    </row>
    <row r="22" customFormat="false" ht="15" hidden="false" customHeight="true" outlineLevel="0" collapsed="false">
      <c r="A22" s="13" t="s">
        <v>2</v>
      </c>
      <c r="B22" s="52" t="s">
        <v>72</v>
      </c>
      <c r="C22" s="52" t="s">
        <v>73</v>
      </c>
      <c r="D22" s="13" t="s">
        <v>314</v>
      </c>
      <c r="E22" s="13" t="s">
        <v>264</v>
      </c>
    </row>
    <row r="23" customFormat="false" ht="123" hidden="false" customHeight="true" outlineLevel="0" collapsed="false">
      <c r="A23" s="18" t="s">
        <v>290</v>
      </c>
      <c r="B23" s="53" t="n">
        <v>58444</v>
      </c>
      <c r="C23" s="53" t="n">
        <v>79035</v>
      </c>
      <c r="D23" s="56" t="n">
        <f aca="false">IFERROR((C23-B23)/B23,"—")</f>
        <v>0.352320169735131</v>
      </c>
      <c r="E23" s="18" t="s">
        <v>670</v>
      </c>
    </row>
    <row r="24" customFormat="false" ht="69" hidden="false" customHeight="true" outlineLevel="0" collapsed="false">
      <c r="A24" s="21" t="s">
        <v>293</v>
      </c>
      <c r="B24" s="53" t="n">
        <v>39023</v>
      </c>
      <c r="C24" s="53" t="n">
        <v>50407</v>
      </c>
      <c r="D24" s="56" t="n">
        <f aca="false">IFERROR((C24-B24)/B24,"—")</f>
        <v>0.291725392717116</v>
      </c>
      <c r="E24" s="18" t="s">
        <v>671</v>
      </c>
    </row>
    <row r="25" customFormat="false" ht="55.5" hidden="false" customHeight="true" outlineLevel="0" collapsed="false">
      <c r="A25" s="18" t="s">
        <v>295</v>
      </c>
      <c r="B25" s="55" t="n">
        <v>0.332</v>
      </c>
      <c r="C25" s="55" t="n">
        <v>0.362</v>
      </c>
      <c r="D25" s="56" t="n">
        <f aca="false">C25-B25</f>
        <v>0.03</v>
      </c>
      <c r="E25" s="18" t="s">
        <v>672</v>
      </c>
    </row>
    <row r="26" customFormat="false" ht="42" hidden="false" customHeight="true" outlineLevel="0" collapsed="false">
      <c r="A26" s="18" t="s">
        <v>318</v>
      </c>
      <c r="B26" s="53" t="n">
        <v>1105</v>
      </c>
      <c r="C26" s="53" t="n">
        <v>1555</v>
      </c>
      <c r="D26" s="56" t="n">
        <f aca="false">IFERROR((C26-B26)/B26,"—")</f>
        <v>0.407239819004525</v>
      </c>
      <c r="E26" s="21" t="s">
        <v>673</v>
      </c>
    </row>
    <row r="27" customFormat="false" ht="55.5" hidden="false" customHeight="true" outlineLevel="0" collapsed="false">
      <c r="A27" s="18" t="s">
        <v>320</v>
      </c>
      <c r="B27" s="53" t="n">
        <v>2596</v>
      </c>
      <c r="C27" s="53" t="n">
        <v>1596</v>
      </c>
      <c r="D27" s="56" t="n">
        <f aca="false">IFERROR((C27-B27)/B27,"—")</f>
        <v>-0.385208012326656</v>
      </c>
      <c r="E27" s="18" t="s">
        <v>674</v>
      </c>
    </row>
    <row r="28" customFormat="false" ht="42" hidden="false" customHeight="true" outlineLevel="0" collapsed="false">
      <c r="A28" s="21" t="s">
        <v>297</v>
      </c>
      <c r="B28" s="53" t="n">
        <v>1558</v>
      </c>
      <c r="C28" s="53" t="n">
        <v>1857</v>
      </c>
      <c r="D28" s="56" t="n">
        <f aca="false">IFERROR((C28-B28)/B28,"—")</f>
        <v>0.19191270860077</v>
      </c>
      <c r="E28" s="18" t="s">
        <v>675</v>
      </c>
    </row>
    <row r="29" customFormat="false" ht="55.5" hidden="false" customHeight="true" outlineLevel="0" collapsed="false">
      <c r="A29" s="18" t="s">
        <v>323</v>
      </c>
      <c r="B29" s="53" t="n">
        <v>14162</v>
      </c>
      <c r="C29" s="53" t="n">
        <v>23620</v>
      </c>
      <c r="D29" s="56" t="n">
        <f aca="false">IFERROR((C29-B29)/B29,"—")</f>
        <v>0.667843524925858</v>
      </c>
      <c r="E29" s="18" t="s">
        <v>676</v>
      </c>
    </row>
    <row r="30" customFormat="false" ht="28.5" hidden="false" customHeight="true" outlineLevel="0" collapsed="false">
      <c r="A30" s="18" t="s">
        <v>587</v>
      </c>
      <c r="B30" s="53" t="n">
        <v>-60</v>
      </c>
      <c r="C30" s="53" t="n">
        <v>-350</v>
      </c>
      <c r="D30" s="18" t="s">
        <v>124</v>
      </c>
      <c r="E30" s="21" t="s">
        <v>677</v>
      </c>
    </row>
    <row r="31" customFormat="false" ht="82.5" hidden="false" customHeight="true" outlineLevel="0" collapsed="false">
      <c r="A31" s="18" t="s">
        <v>299</v>
      </c>
      <c r="B31" s="53" t="n">
        <v>9242</v>
      </c>
      <c r="C31" s="53" t="n">
        <v>15578</v>
      </c>
      <c r="D31" s="56" t="n">
        <f aca="false">IFERROR((C31-B31)/B31,"—")</f>
        <v>0.685565894827959</v>
      </c>
      <c r="E31" s="18" t="s">
        <v>678</v>
      </c>
    </row>
    <row r="32" customFormat="false" ht="28.5" hidden="false" customHeight="true" outlineLevel="0" collapsed="false">
      <c r="A32" s="21" t="s">
        <v>328</v>
      </c>
      <c r="B32" s="57" t="n">
        <v>12.84</v>
      </c>
      <c r="C32" s="57" t="n">
        <v>21.64</v>
      </c>
      <c r="D32" s="56" t="n">
        <f aca="false">IFERROR((C32-B32)/B32,"—")</f>
        <v>0.685358255451714</v>
      </c>
      <c r="E32" s="18" t="s">
        <v>589</v>
      </c>
    </row>
    <row r="33" customFormat="false" ht="15" hidden="false" customHeight="true" outlineLevel="0" collapsed="false">
      <c r="A33" s="18" t="s">
        <v>330</v>
      </c>
      <c r="B33" s="55" t="n">
        <v>0.158</v>
      </c>
      <c r="C33" s="55" t="n">
        <v>0.197</v>
      </c>
      <c r="D33" s="56" t="n">
        <f aca="false">C33-B33</f>
        <v>0.039</v>
      </c>
      <c r="E33" s="18" t="s">
        <v>124</v>
      </c>
    </row>
    <row r="34" customFormat="false" ht="96" hidden="false" customHeight="true" outlineLevel="0" collapsed="false">
      <c r="A34" s="18" t="s">
        <v>332</v>
      </c>
      <c r="B34" s="53" t="n">
        <v>2332</v>
      </c>
      <c r="C34" s="53" t="n">
        <v>8564</v>
      </c>
      <c r="D34" s="56" t="n">
        <f aca="false">IFERROR((C34-B34)/B34,"—")</f>
        <v>2.67238421955403</v>
      </c>
      <c r="E34" s="18" t="s">
        <v>679</v>
      </c>
    </row>
    <row r="35" customFormat="false" ht="55.5" hidden="false" customHeight="true" outlineLevel="0" collapsed="false">
      <c r="A35" s="18" t="s">
        <v>334</v>
      </c>
      <c r="B35" s="53" t="n">
        <v>1372</v>
      </c>
      <c r="C35" s="53" t="n">
        <v>1158</v>
      </c>
      <c r="D35" s="56" t="n">
        <f aca="false">IFERROR((C35-B35)/B35,"—")</f>
        <v>-0.15597667638484</v>
      </c>
      <c r="E35" s="21" t="s">
        <v>680</v>
      </c>
    </row>
    <row r="36" customFormat="false" ht="15" hidden="false" customHeight="true" outlineLevel="0" collapsed="false">
      <c r="A36" s="18" t="s">
        <v>487</v>
      </c>
      <c r="B36" s="53" t="n">
        <v>4442</v>
      </c>
      <c r="C36" s="53" t="n">
        <v>5532</v>
      </c>
      <c r="D36" s="56" t="n">
        <f aca="false">IFERROR((C36-B36)/B36,"—")</f>
        <v>0.245384961728951</v>
      </c>
      <c r="E36" s="18" t="s">
        <v>488</v>
      </c>
    </row>
    <row r="37" customFormat="false" ht="42" hidden="false" customHeight="true" outlineLevel="0" collapsed="false">
      <c r="A37" s="18" t="s">
        <v>336</v>
      </c>
      <c r="B37" s="53" t="n">
        <v>23989</v>
      </c>
      <c r="C37" s="53" t="n">
        <v>28018</v>
      </c>
      <c r="D37" s="56" t="n">
        <f aca="false">IFERROR((C37-B37)/B37,"—")</f>
        <v>0.167951977989912</v>
      </c>
      <c r="E37" s="18" t="s">
        <v>681</v>
      </c>
    </row>
    <row r="38" customFormat="false" ht="15" hidden="false" customHeight="true" outlineLevel="0" collapsed="false">
      <c r="A38" s="18" t="s">
        <v>490</v>
      </c>
      <c r="B38" s="53" t="n">
        <v>0</v>
      </c>
      <c r="C38" s="53" t="n">
        <v>0</v>
      </c>
      <c r="D38" s="18" t="s">
        <v>124</v>
      </c>
      <c r="E38" s="18" t="s">
        <v>593</v>
      </c>
    </row>
    <row r="39" customFormat="false" ht="42" hidden="false" customHeight="true" outlineLevel="0" collapsed="false">
      <c r="A39" s="18" t="s">
        <v>340</v>
      </c>
      <c r="B39" s="53" t="n">
        <v>23493</v>
      </c>
      <c r="C39" s="53" t="n">
        <v>38972</v>
      </c>
      <c r="D39" s="56" t="n">
        <f aca="false">IFERROR((C39-B39)/B39,"—")</f>
        <v>0.658877112331333</v>
      </c>
      <c r="E39" s="18" t="s">
        <v>682</v>
      </c>
    </row>
    <row r="40" customFormat="false" ht="15" hidden="false" customHeight="true" outlineLevel="0" collapsed="false">
      <c r="A40" s="21" t="s">
        <v>342</v>
      </c>
      <c r="B40" s="55" t="n">
        <v>0.393</v>
      </c>
      <c r="C40" s="55" t="n">
        <v>0.4</v>
      </c>
      <c r="D40" s="56" t="n">
        <f aca="false">C40-B40</f>
        <v>0.00700000000000001</v>
      </c>
      <c r="E40" s="18" t="s">
        <v>124</v>
      </c>
    </row>
    <row r="41" customFormat="false" ht="55.5" hidden="false" customHeight="true" outlineLevel="0" collapsed="false">
      <c r="A41" s="18" t="s">
        <v>344</v>
      </c>
      <c r="B41" s="57" t="n">
        <v>104.63</v>
      </c>
      <c r="C41" s="57" t="n">
        <v>156.75</v>
      </c>
      <c r="D41" s="56" t="n">
        <f aca="false">IFERROR((C41-B41)/B41,"—")</f>
        <v>0.498136289783045</v>
      </c>
      <c r="E41" s="18" t="s">
        <v>683</v>
      </c>
    </row>
    <row r="42" customFormat="false" ht="28.5" hidden="false" customHeight="true" outlineLevel="0" collapsed="false">
      <c r="A42" s="18" t="s">
        <v>346</v>
      </c>
      <c r="B42" s="53" t="n">
        <v>75332</v>
      </c>
      <c r="C42" s="53" t="n">
        <v>112857</v>
      </c>
      <c r="D42" s="56" t="n">
        <f aca="false">IFERROR((C42-B42)/B42,"—")</f>
        <v>0.49812828545638</v>
      </c>
      <c r="E42" s="18" t="s">
        <v>684</v>
      </c>
    </row>
    <row r="43" customFormat="false" ht="55.5" hidden="false" customHeight="true" outlineLevel="0" collapsed="false">
      <c r="A43" s="21" t="s">
        <v>249</v>
      </c>
      <c r="B43" s="55" t="n">
        <v>0.225</v>
      </c>
      <c r="C43" s="55" t="n">
        <v>0.257</v>
      </c>
      <c r="D43" s="56" t="n">
        <f aca="false">C43-B43</f>
        <v>0.032</v>
      </c>
      <c r="E43" s="21" t="s">
        <v>685</v>
      </c>
    </row>
    <row r="44" customFormat="false" ht="15" hidden="false" customHeight="true" outlineLevel="0" collapsed="false">
      <c r="A44" s="18" t="s">
        <v>497</v>
      </c>
      <c r="B44" s="55" t="n">
        <v>0.225</v>
      </c>
      <c r="C44" s="55" t="n">
        <v>0.243</v>
      </c>
      <c r="D44" s="56" t="n">
        <f aca="false">C44-B44</f>
        <v>0.018</v>
      </c>
      <c r="E44" s="18" t="s">
        <v>686</v>
      </c>
    </row>
    <row r="45" customFormat="false" ht="42" hidden="false" customHeight="true" outlineLevel="0" collapsed="false">
      <c r="A45" s="21" t="s">
        <v>350</v>
      </c>
      <c r="B45" s="53" t="n">
        <v>7688</v>
      </c>
      <c r="C45" s="53" t="n">
        <v>11383</v>
      </c>
      <c r="D45" s="56" t="n">
        <f aca="false">IFERROR((C45-B45)/B45,"—")</f>
        <v>0.480619146722164</v>
      </c>
      <c r="E45" s="21" t="s">
        <v>687</v>
      </c>
    </row>
    <row r="46" customFormat="false" ht="28.5" hidden="false" customHeight="true" outlineLevel="0" collapsed="false">
      <c r="A46" s="21" t="s">
        <v>603</v>
      </c>
      <c r="B46" s="53" t="n">
        <v>8109</v>
      </c>
      <c r="C46" s="53" t="n">
        <v>9864</v>
      </c>
      <c r="D46" s="56" t="n">
        <f aca="false">IFERROR((C46-B46)/B46,"—")</f>
        <v>0.216426193118757</v>
      </c>
      <c r="E46" s="21" t="s">
        <v>688</v>
      </c>
    </row>
    <row r="47" customFormat="false" ht="42" hidden="false" customHeight="true" outlineLevel="0" collapsed="false">
      <c r="A47" s="21" t="s">
        <v>689</v>
      </c>
      <c r="B47" s="53" t="n">
        <v>0</v>
      </c>
      <c r="C47" s="53" t="n">
        <v>3509</v>
      </c>
      <c r="D47" s="18" t="s">
        <v>124</v>
      </c>
      <c r="E47" s="18" t="s">
        <v>690</v>
      </c>
    </row>
    <row r="48" customFormat="false" ht="28.5" hidden="false" customHeight="true" outlineLevel="0" collapsed="false">
      <c r="A48" s="21" t="s">
        <v>353</v>
      </c>
      <c r="B48" s="53" t="n">
        <v>4062</v>
      </c>
      <c r="C48" s="53" t="n">
        <v>4867</v>
      </c>
      <c r="D48" s="56" t="n">
        <f aca="false">IFERROR((C48-B48)/B48,"—")</f>
        <v>0.198178237321517</v>
      </c>
      <c r="E48" s="21" t="s">
        <v>691</v>
      </c>
    </row>
    <row r="49" customFormat="false" ht="55.5" hidden="false" customHeight="true" outlineLevel="0" collapsed="false">
      <c r="A49" s="21" t="s">
        <v>356</v>
      </c>
      <c r="B49" s="53" t="n">
        <v>1557</v>
      </c>
      <c r="C49" s="53" t="n">
        <v>1007</v>
      </c>
      <c r="D49" s="56" t="n">
        <f aca="false">IFERROR((C49-B49)/B49,"—")</f>
        <v>-0.353243416827232</v>
      </c>
      <c r="E49" s="18" t="s">
        <v>692</v>
      </c>
    </row>
    <row r="50" customFormat="false" ht="69" hidden="false" customHeight="true" outlineLevel="0" collapsed="false">
      <c r="A50" s="21" t="s">
        <v>360</v>
      </c>
      <c r="B50" s="53" t="n">
        <v>3032</v>
      </c>
      <c r="C50" s="53" t="n">
        <v>14331</v>
      </c>
      <c r="D50" s="56" t="n">
        <f aca="false">IFERROR((C50-B50)/B50,"—")</f>
        <v>3.72658311345646</v>
      </c>
      <c r="E50" s="18" t="s">
        <v>693</v>
      </c>
    </row>
    <row r="52" customFormat="false" ht="26.25" hidden="false" customHeight="true" outlineLevel="0" collapsed="false">
      <c r="A52" s="52" t="s">
        <v>694</v>
      </c>
    </row>
    <row r="53" customFormat="false" ht="26.25" hidden="false" customHeight="true" outlineLevel="0" collapsed="false">
      <c r="A53" s="13" t="s">
        <v>363</v>
      </c>
      <c r="B53" s="13" t="s">
        <v>364</v>
      </c>
      <c r="C53" s="13" t="s">
        <v>295</v>
      </c>
      <c r="D53" s="13" t="s">
        <v>365</v>
      </c>
      <c r="E53" s="13" t="s">
        <v>366</v>
      </c>
      <c r="F53" s="13" t="s">
        <v>695</v>
      </c>
      <c r="G53" s="13" t="s">
        <v>305</v>
      </c>
      <c r="H53" s="13" t="s">
        <v>368</v>
      </c>
      <c r="I53" s="13" t="s">
        <v>369</v>
      </c>
      <c r="J53" s="13" t="s">
        <v>370</v>
      </c>
      <c r="K53" s="13" t="s">
        <v>497</v>
      </c>
      <c r="L53" s="52" t="s">
        <v>696</v>
      </c>
      <c r="M53" s="13" t="s">
        <v>372</v>
      </c>
    </row>
    <row r="54" customFormat="false" ht="15" hidden="false" customHeight="true" outlineLevel="0" collapsed="false">
      <c r="A54" s="21" t="s">
        <v>373</v>
      </c>
      <c r="B54" s="53" t="n">
        <v>2404</v>
      </c>
      <c r="C54" s="55" t="n">
        <v>0.213</v>
      </c>
      <c r="D54" s="53" t="n">
        <v>230</v>
      </c>
      <c r="E54" s="53" t="n">
        <v>1209</v>
      </c>
      <c r="F54" s="53" t="n">
        <v>7418</v>
      </c>
      <c r="G54" s="57" t="n">
        <v>57.16</v>
      </c>
      <c r="H54" s="53" t="n">
        <v>30050</v>
      </c>
      <c r="I54" s="53" t="n">
        <v>4927</v>
      </c>
      <c r="J54" s="55" t="n">
        <v>0.104</v>
      </c>
      <c r="K54" s="55" t="n">
        <v>0.128</v>
      </c>
      <c r="L54" s="57" t="n">
        <v>63.3</v>
      </c>
      <c r="M54" s="18" t="s">
        <v>697</v>
      </c>
    </row>
    <row r="55" customFormat="false" ht="15" hidden="false" customHeight="true" outlineLevel="0" collapsed="false">
      <c r="A55" s="21" t="s">
        <v>375</v>
      </c>
      <c r="B55" s="53" t="n">
        <v>3650</v>
      </c>
      <c r="C55" s="55" t="n">
        <v>0.237</v>
      </c>
      <c r="D55" s="53" t="n">
        <v>486</v>
      </c>
      <c r="E55" s="53" t="n">
        <v>599</v>
      </c>
      <c r="F55" s="53" t="n">
        <v>10860</v>
      </c>
      <c r="G55" s="57" t="n">
        <v>66.32</v>
      </c>
      <c r="H55" s="53" t="n">
        <v>39743</v>
      </c>
      <c r="I55" s="53" t="n">
        <v>2660</v>
      </c>
      <c r="J55" s="55" t="n">
        <v>0.137</v>
      </c>
      <c r="K55" s="55" t="n">
        <v>0.144</v>
      </c>
      <c r="L55" s="57" t="n">
        <v>74.8</v>
      </c>
      <c r="M55" s="18" t="s">
        <v>698</v>
      </c>
    </row>
    <row r="56" customFormat="false" ht="28.5" hidden="false" customHeight="true" outlineLevel="0" collapsed="false">
      <c r="A56" s="21" t="s">
        <v>377</v>
      </c>
      <c r="B56" s="53" t="n">
        <v>15578</v>
      </c>
      <c r="C56" s="55" t="n">
        <v>0.362</v>
      </c>
      <c r="D56" s="53" t="n">
        <v>1555</v>
      </c>
      <c r="E56" s="53" t="n">
        <v>1596</v>
      </c>
      <c r="F56" s="53" t="n">
        <v>30284</v>
      </c>
      <c r="G56" s="57" t="n">
        <v>156.75</v>
      </c>
      <c r="H56" s="53" t="n">
        <v>112857</v>
      </c>
      <c r="I56" s="53" t="n">
        <v>0</v>
      </c>
      <c r="J56" s="55" t="n">
        <v>0.257</v>
      </c>
      <c r="K56" s="55" t="n">
        <v>0.243</v>
      </c>
      <c r="L56" s="57" t="n">
        <v>98.2</v>
      </c>
      <c r="M56" s="21" t="s">
        <v>699</v>
      </c>
    </row>
    <row r="57" customFormat="false" ht="15" hidden="false" customHeight="true" outlineLevel="0" collapsed="false">
      <c r="A57" s="21" t="s">
        <v>379</v>
      </c>
      <c r="B57" s="53" t="n">
        <v>292</v>
      </c>
      <c r="C57" s="55" t="n">
        <v>0.162</v>
      </c>
      <c r="D57" s="53" t="n">
        <v>575</v>
      </c>
      <c r="E57" s="53" t="n">
        <v>985</v>
      </c>
      <c r="F57" s="53" t="n">
        <v>4579</v>
      </c>
      <c r="G57" s="57" t="n">
        <v>18.99</v>
      </c>
      <c r="H57" s="53" t="n">
        <v>9495</v>
      </c>
      <c r="I57" s="53" t="n">
        <v>3377</v>
      </c>
      <c r="J57" s="55" t="n">
        <v>0.129</v>
      </c>
      <c r="K57" s="55" t="n">
        <v>0.096</v>
      </c>
      <c r="L57" s="57" t="n">
        <v>51.8</v>
      </c>
      <c r="M57" s="18" t="s">
        <v>700</v>
      </c>
    </row>
    <row r="58" customFormat="false" ht="15" hidden="false" customHeight="true" outlineLevel="0" collapsed="false">
      <c r="A58" s="21" t="s">
        <v>381</v>
      </c>
      <c r="B58" s="53" t="n">
        <v>3138</v>
      </c>
      <c r="C58" s="55" t="n">
        <v>0.232</v>
      </c>
      <c r="D58" s="53" t="n">
        <v>600</v>
      </c>
      <c r="E58" s="53" t="n">
        <v>776</v>
      </c>
      <c r="F58" s="53" t="n">
        <v>9318</v>
      </c>
      <c r="G58" s="57" t="n">
        <v>59.05</v>
      </c>
      <c r="H58" s="53" t="n">
        <v>35386</v>
      </c>
      <c r="I58" s="53" t="n">
        <v>0</v>
      </c>
      <c r="J58" s="55" t="n">
        <v>0.11</v>
      </c>
      <c r="K58" s="55" t="n">
        <v>0.125</v>
      </c>
      <c r="L58" s="57" t="n">
        <v>69.3</v>
      </c>
      <c r="M58" s="18" t="s">
        <v>701</v>
      </c>
    </row>
    <row r="59" customFormat="false" ht="15" hidden="false" customHeight="true" outlineLevel="0" collapsed="false">
      <c r="A59" s="21" t="s">
        <v>383</v>
      </c>
      <c r="B59" s="53" t="n">
        <v>6401</v>
      </c>
      <c r="C59" s="55" t="n">
        <v>0.302</v>
      </c>
      <c r="D59" s="53" t="n">
        <v>810</v>
      </c>
      <c r="E59" s="53" t="n">
        <v>827</v>
      </c>
      <c r="F59" s="53" t="n">
        <v>13456</v>
      </c>
      <c r="G59" s="57" t="n">
        <v>84.33</v>
      </c>
      <c r="H59" s="53" t="n">
        <v>58966</v>
      </c>
      <c r="I59" s="53" t="n">
        <v>2000</v>
      </c>
      <c r="J59" s="55" t="n">
        <v>0.18</v>
      </c>
      <c r="K59" s="55" t="n">
        <v>0.15</v>
      </c>
      <c r="L59" s="57" t="n">
        <v>83.6</v>
      </c>
      <c r="M59" s="18" t="s">
        <v>702</v>
      </c>
    </row>
    <row r="60" customFormat="false" ht="15" hidden="false" customHeight="true" outlineLevel="0" collapsed="false">
      <c r="A60" s="21" t="s">
        <v>385</v>
      </c>
      <c r="B60" s="53" t="n">
        <v>550</v>
      </c>
      <c r="C60" s="55" t="n">
        <v>0.167</v>
      </c>
      <c r="D60" s="53" t="n">
        <v>705</v>
      </c>
      <c r="E60" s="53" t="n">
        <v>1210</v>
      </c>
      <c r="F60" s="53" t="n">
        <v>6244</v>
      </c>
      <c r="G60" s="57" t="n">
        <v>28.6</v>
      </c>
      <c r="H60" s="53" t="n">
        <v>17160</v>
      </c>
      <c r="I60" s="53" t="n">
        <v>3481</v>
      </c>
      <c r="J60" s="55" t="n">
        <v>0.082</v>
      </c>
      <c r="K60" s="55" t="n">
        <v>0.115</v>
      </c>
      <c r="L60" s="57" t="n">
        <v>56.6</v>
      </c>
      <c r="M60" s="18" t="s">
        <v>703</v>
      </c>
    </row>
    <row r="61" customFormat="false" ht="55.5" hidden="false" customHeight="true" outlineLevel="0" collapsed="false">
      <c r="A61" s="18" t="s">
        <v>514</v>
      </c>
      <c r="B61" s="18" t="s">
        <v>704</v>
      </c>
    </row>
    <row r="62" customFormat="false" ht="42" hidden="false" customHeight="true" outlineLevel="0" collapsed="false">
      <c r="A62" s="21" t="s">
        <v>705</v>
      </c>
      <c r="B62" s="18" t="s">
        <v>706</v>
      </c>
    </row>
    <row r="63" customFormat="false" ht="96" hidden="false" customHeight="true" outlineLevel="0" collapsed="false">
      <c r="A63" s="18" t="s">
        <v>707</v>
      </c>
      <c r="B63" s="18" t="s">
        <v>708</v>
      </c>
    </row>
    <row r="65" customFormat="false" ht="15" hidden="false" customHeight="true" outlineLevel="0" collapsed="false">
      <c r="A65" s="52" t="s">
        <v>522</v>
      </c>
    </row>
    <row r="66" customFormat="false" ht="15" hidden="false" customHeight="true" outlineLevel="0" collapsed="false">
      <c r="A66" s="13" t="s">
        <v>400</v>
      </c>
      <c r="B66" s="13" t="s">
        <v>401</v>
      </c>
      <c r="C66" s="13" t="s">
        <v>402</v>
      </c>
    </row>
    <row r="67" customFormat="false" ht="82.5" hidden="false" customHeight="true" outlineLevel="0" collapsed="false">
      <c r="A67" s="18" t="s">
        <v>709</v>
      </c>
      <c r="B67" s="21" t="s">
        <v>710</v>
      </c>
      <c r="C67" s="18" t="s">
        <v>711</v>
      </c>
    </row>
    <row r="68" customFormat="false" ht="28.5" hidden="false" customHeight="true" outlineLevel="0" collapsed="false">
      <c r="A68" s="21" t="s">
        <v>712</v>
      </c>
      <c r="B68" s="18" t="s">
        <v>713</v>
      </c>
      <c r="C68" s="21" t="s">
        <v>714</v>
      </c>
    </row>
    <row r="69" customFormat="false" ht="42" hidden="false" customHeight="true" outlineLevel="0" collapsed="false">
      <c r="A69" s="21" t="s">
        <v>715</v>
      </c>
      <c r="B69" s="21" t="s">
        <v>716</v>
      </c>
      <c r="C69" s="18" t="s">
        <v>717</v>
      </c>
    </row>
    <row r="70" customFormat="false" ht="28.5" hidden="false" customHeight="true" outlineLevel="0" collapsed="false">
      <c r="A70" s="21" t="s">
        <v>718</v>
      </c>
      <c r="B70" s="21" t="s">
        <v>719</v>
      </c>
      <c r="C70" s="18" t="s">
        <v>720</v>
      </c>
    </row>
    <row r="71" customFormat="false" ht="82.5" hidden="false" customHeight="true" outlineLevel="0" collapsed="false">
      <c r="A71" s="18" t="s">
        <v>721</v>
      </c>
      <c r="B71" s="21" t="s">
        <v>722</v>
      </c>
      <c r="C71" s="21" t="s">
        <v>723</v>
      </c>
    </row>
    <row r="73" customFormat="false" ht="15" hidden="false" customHeight="true" outlineLevel="0" collapsed="false">
      <c r="A73" s="52" t="s">
        <v>538</v>
      </c>
    </row>
    <row r="74" customFormat="false" ht="15" hidden="false" customHeight="true" outlineLevel="0" collapsed="false">
      <c r="A74" s="13" t="s">
        <v>419</v>
      </c>
      <c r="B74" s="13" t="s">
        <v>420</v>
      </c>
      <c r="C74" s="13" t="s">
        <v>421</v>
      </c>
    </row>
    <row r="75" customFormat="false" ht="15" hidden="false" customHeight="true" outlineLevel="0" collapsed="false">
      <c r="A75" s="18" t="s">
        <v>423</v>
      </c>
      <c r="B75" s="21" t="s">
        <v>724</v>
      </c>
      <c r="C75" s="18" t="s">
        <v>429</v>
      </c>
    </row>
    <row r="76" customFormat="false" ht="28.5" hidden="false" customHeight="true" outlineLevel="0" collapsed="false">
      <c r="A76" s="18" t="s">
        <v>427</v>
      </c>
      <c r="B76" s="21" t="s">
        <v>725</v>
      </c>
      <c r="C76" s="18" t="s">
        <v>429</v>
      </c>
    </row>
    <row r="77" customFormat="false" ht="28.5" hidden="false" customHeight="true" outlineLevel="0" collapsed="false">
      <c r="A77" s="18" t="s">
        <v>431</v>
      </c>
      <c r="B77" s="21" t="s">
        <v>726</v>
      </c>
      <c r="C77" s="18" t="s">
        <v>429</v>
      </c>
    </row>
    <row r="78" customFormat="false" ht="15" hidden="false" customHeight="true" outlineLevel="0" collapsed="false">
      <c r="A78" s="21" t="s">
        <v>433</v>
      </c>
      <c r="B78" s="21" t="s">
        <v>727</v>
      </c>
      <c r="C78" s="18" t="s">
        <v>429</v>
      </c>
    </row>
    <row r="79" customFormat="false" ht="15" hidden="false" customHeight="true" outlineLevel="0" collapsed="false">
      <c r="A79" s="21" t="s">
        <v>436</v>
      </c>
      <c r="B79" s="21" t="s">
        <v>728</v>
      </c>
      <c r="C79" s="18" t="s">
        <v>429</v>
      </c>
    </row>
    <row r="80" customFormat="false" ht="15" hidden="false" customHeight="true" outlineLevel="0" collapsed="false">
      <c r="A80" s="18" t="s">
        <v>440</v>
      </c>
      <c r="B80" s="21" t="s">
        <v>729</v>
      </c>
      <c r="C80" s="18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" width="7.62"/>
    <col collapsed="false" customWidth="true" hidden="false" outlineLevel="0" max="2" min="2" style="1" width="9.79"/>
    <col collapsed="false" customWidth="true" hidden="false" outlineLevel="0" max="3" min="3" style="1" width="32.65"/>
    <col collapsed="false" customWidth="true" hidden="false" outlineLevel="0" max="4" min="4" style="1" width="52.24"/>
    <col collapsed="false" customWidth="true" hidden="false" outlineLevel="0" max="5" min="5" style="1" width="41.35"/>
    <col collapsed="false" customWidth="true" hidden="false" outlineLevel="0" max="6" min="6" style="1" width="11.97"/>
  </cols>
  <sheetData>
    <row r="1" customFormat="false" ht="17.25" hidden="false" customHeight="true" outlineLevel="0" collapsed="false">
      <c r="A1" s="2" t="s">
        <v>730</v>
      </c>
    </row>
    <row r="2" customFormat="false" ht="31.5" hidden="false" customHeight="true" outlineLevel="0" collapsed="false">
      <c r="A2" s="3" t="s">
        <v>731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3" t="s">
        <v>732</v>
      </c>
      <c r="B4" s="13" t="s">
        <v>733</v>
      </c>
      <c r="C4" s="13" t="s">
        <v>55</v>
      </c>
      <c r="D4" s="13" t="s">
        <v>734</v>
      </c>
      <c r="E4" s="13" t="s">
        <v>735</v>
      </c>
      <c r="F4" s="13" t="s">
        <v>736</v>
      </c>
    </row>
    <row r="5" customFormat="false" ht="15" hidden="false" customHeight="true" outlineLevel="0" collapsed="false">
      <c r="A5" s="59" t="s">
        <v>429</v>
      </c>
      <c r="B5" s="18" t="s">
        <v>26</v>
      </c>
      <c r="C5" s="18" t="s">
        <v>737</v>
      </c>
      <c r="D5" s="18" t="s">
        <v>738</v>
      </c>
      <c r="E5" s="18" t="s">
        <v>739</v>
      </c>
      <c r="F5" s="19" t="s">
        <v>740</v>
      </c>
    </row>
    <row r="6" customFormat="false" ht="27.75" hidden="false" customHeight="true" outlineLevel="0" collapsed="false">
      <c r="A6" s="59" t="s">
        <v>429</v>
      </c>
      <c r="B6" s="18" t="s">
        <v>741</v>
      </c>
      <c r="C6" s="19" t="s">
        <v>742</v>
      </c>
      <c r="D6" s="19" t="s">
        <v>743</v>
      </c>
      <c r="E6" s="18" t="s">
        <v>744</v>
      </c>
      <c r="F6" s="19" t="s">
        <v>740</v>
      </c>
    </row>
    <row r="7" customFormat="false" ht="15" hidden="false" customHeight="true" outlineLevel="0" collapsed="false">
      <c r="A7" s="59" t="s">
        <v>429</v>
      </c>
      <c r="B7" s="18" t="s">
        <v>745</v>
      </c>
      <c r="C7" s="18" t="s">
        <v>746</v>
      </c>
      <c r="D7" s="19" t="s">
        <v>747</v>
      </c>
      <c r="E7" s="18" t="s">
        <v>748</v>
      </c>
      <c r="F7" s="19" t="s">
        <v>749</v>
      </c>
    </row>
    <row r="8" customFormat="false" ht="15" hidden="false" customHeight="true" outlineLevel="0" collapsed="false">
      <c r="A8" s="59" t="s">
        <v>429</v>
      </c>
      <c r="B8" s="18" t="s">
        <v>741</v>
      </c>
      <c r="C8" s="18" t="s">
        <v>750</v>
      </c>
      <c r="D8" s="19" t="s">
        <v>751</v>
      </c>
      <c r="E8" s="18" t="s">
        <v>752</v>
      </c>
      <c r="F8" s="19" t="s">
        <v>749</v>
      </c>
    </row>
    <row r="9" customFormat="false" ht="27.75" hidden="false" customHeight="true" outlineLevel="0" collapsed="false">
      <c r="A9" s="59" t="s">
        <v>429</v>
      </c>
      <c r="B9" s="18" t="s">
        <v>753</v>
      </c>
      <c r="C9" s="18" t="s">
        <v>754</v>
      </c>
      <c r="D9" s="19" t="s">
        <v>755</v>
      </c>
      <c r="E9" s="18" t="s">
        <v>756</v>
      </c>
      <c r="F9" s="19" t="s">
        <v>757</v>
      </c>
    </row>
    <row r="10" customFormat="false" ht="15" hidden="false" customHeight="true" outlineLevel="0" collapsed="false">
      <c r="A10" s="59" t="s">
        <v>429</v>
      </c>
      <c r="B10" s="18" t="s">
        <v>42</v>
      </c>
      <c r="C10" s="18" t="s">
        <v>758</v>
      </c>
      <c r="D10" s="19" t="s">
        <v>759</v>
      </c>
      <c r="E10" s="18" t="s">
        <v>760</v>
      </c>
      <c r="F10" s="19" t="s">
        <v>749</v>
      </c>
    </row>
    <row r="11" customFormat="false" ht="15" hidden="false" customHeight="true" outlineLevel="0" collapsed="false">
      <c r="A11" s="59" t="s">
        <v>429</v>
      </c>
      <c r="B11" s="18" t="s">
        <v>38</v>
      </c>
      <c r="C11" s="18" t="s">
        <v>761</v>
      </c>
      <c r="D11" s="19" t="s">
        <v>762</v>
      </c>
      <c r="E11" s="18" t="s">
        <v>763</v>
      </c>
      <c r="F11" s="19" t="s">
        <v>749</v>
      </c>
    </row>
    <row r="12" customFormat="false" ht="27" hidden="false" customHeight="true" outlineLevel="0" collapsed="false">
      <c r="A12" s="59" t="s">
        <v>429</v>
      </c>
      <c r="B12" s="18" t="s">
        <v>764</v>
      </c>
      <c r="C12" s="18" t="s">
        <v>765</v>
      </c>
      <c r="D12" s="19" t="s">
        <v>766</v>
      </c>
      <c r="E12" s="18" t="s">
        <v>767</v>
      </c>
      <c r="F12" s="19" t="s">
        <v>768</v>
      </c>
    </row>
    <row r="13" customFormat="false" ht="15" hidden="false" customHeight="true" outlineLevel="0" collapsed="false">
      <c r="A13" s="59" t="s">
        <v>429</v>
      </c>
      <c r="B13" s="18" t="s">
        <v>764</v>
      </c>
      <c r="C13" s="18" t="s">
        <v>769</v>
      </c>
      <c r="D13" s="19" t="s">
        <v>770</v>
      </c>
      <c r="E13" s="18" t="s">
        <v>771</v>
      </c>
      <c r="F13" s="19" t="s">
        <v>749</v>
      </c>
    </row>
    <row r="14" customFormat="false" ht="15" hidden="false" customHeight="true" outlineLevel="0" collapsed="false">
      <c r="A14" s="59" t="s">
        <v>429</v>
      </c>
      <c r="B14" s="19" t="s">
        <v>772</v>
      </c>
      <c r="C14" s="19" t="s">
        <v>773</v>
      </c>
      <c r="D14" s="18" t="s">
        <v>774</v>
      </c>
      <c r="E14" s="18" t="s">
        <v>775</v>
      </c>
      <c r="F14" s="19" t="s">
        <v>749</v>
      </c>
    </row>
    <row r="15" customFormat="false" ht="27" hidden="false" customHeight="true" outlineLevel="0" collapsed="false">
      <c r="A15" s="59" t="s">
        <v>429</v>
      </c>
      <c r="B15" s="19" t="s">
        <v>772</v>
      </c>
      <c r="C15" s="19" t="s">
        <v>776</v>
      </c>
      <c r="D15" s="18" t="s">
        <v>777</v>
      </c>
      <c r="E15" s="18" t="s">
        <v>778</v>
      </c>
      <c r="F15" s="19" t="s">
        <v>779</v>
      </c>
    </row>
    <row r="16" customFormat="false" ht="15" hidden="false" customHeight="true" outlineLevel="0" collapsed="false">
      <c r="A16" s="60" t="s">
        <v>425</v>
      </c>
      <c r="B16" s="18" t="s">
        <v>26</v>
      </c>
      <c r="C16" s="19" t="s">
        <v>780</v>
      </c>
      <c r="D16" s="18" t="s">
        <v>781</v>
      </c>
      <c r="E16" s="18" t="s">
        <v>782</v>
      </c>
      <c r="F16" s="19" t="s">
        <v>783</v>
      </c>
    </row>
    <row r="17" customFormat="false" ht="15" hidden="false" customHeight="true" outlineLevel="0" collapsed="false">
      <c r="A17" s="60" t="s">
        <v>425</v>
      </c>
      <c r="B17" s="18" t="s">
        <v>745</v>
      </c>
      <c r="C17" s="18" t="s">
        <v>784</v>
      </c>
      <c r="D17" s="19" t="s">
        <v>785</v>
      </c>
      <c r="E17" s="18" t="s">
        <v>786</v>
      </c>
      <c r="F17" s="19" t="s">
        <v>740</v>
      </c>
    </row>
    <row r="18" customFormat="false" ht="15" hidden="false" customHeight="true" outlineLevel="0" collapsed="false">
      <c r="A18" s="60" t="s">
        <v>425</v>
      </c>
      <c r="B18" s="18" t="s">
        <v>42</v>
      </c>
      <c r="C18" s="18" t="s">
        <v>787</v>
      </c>
      <c r="D18" s="19" t="s">
        <v>788</v>
      </c>
      <c r="E18" s="18" t="s">
        <v>789</v>
      </c>
      <c r="F18" s="19" t="s">
        <v>790</v>
      </c>
    </row>
    <row r="19" customFormat="false" ht="15" hidden="false" customHeight="true" outlineLevel="0" collapsed="false">
      <c r="A19" s="60" t="s">
        <v>425</v>
      </c>
      <c r="B19" s="18" t="s">
        <v>42</v>
      </c>
      <c r="C19" s="19" t="s">
        <v>791</v>
      </c>
      <c r="D19" s="18" t="s">
        <v>792</v>
      </c>
      <c r="E19" s="18" t="s">
        <v>793</v>
      </c>
      <c r="F19" s="19" t="s">
        <v>794</v>
      </c>
    </row>
    <row r="20" customFormat="false" ht="15" hidden="false" customHeight="true" outlineLevel="0" collapsed="false">
      <c r="A20" s="60" t="s">
        <v>425</v>
      </c>
      <c r="B20" s="18" t="s">
        <v>42</v>
      </c>
      <c r="C20" s="18" t="s">
        <v>795</v>
      </c>
      <c r="D20" s="19" t="s">
        <v>796</v>
      </c>
      <c r="E20" s="18" t="s">
        <v>797</v>
      </c>
      <c r="F20" s="19" t="s">
        <v>749</v>
      </c>
    </row>
    <row r="21" customFormat="false" ht="15" hidden="false" customHeight="true" outlineLevel="0" collapsed="false">
      <c r="A21" s="60" t="s">
        <v>425</v>
      </c>
      <c r="B21" s="18" t="s">
        <v>764</v>
      </c>
      <c r="C21" s="19" t="s">
        <v>798</v>
      </c>
      <c r="D21" s="19" t="s">
        <v>799</v>
      </c>
      <c r="E21" s="18" t="s">
        <v>800</v>
      </c>
      <c r="F21" s="19" t="s">
        <v>790</v>
      </c>
    </row>
    <row r="22" customFormat="false" ht="15" hidden="false" customHeight="true" outlineLevel="0" collapsed="false">
      <c r="A22" s="60" t="s">
        <v>425</v>
      </c>
      <c r="B22" s="18" t="s">
        <v>801</v>
      </c>
      <c r="C22" s="18" t="s">
        <v>802</v>
      </c>
      <c r="D22" s="19" t="s">
        <v>803</v>
      </c>
      <c r="E22" s="18" t="s">
        <v>804</v>
      </c>
      <c r="F22" s="19" t="s">
        <v>783</v>
      </c>
    </row>
    <row r="23" customFormat="false" ht="15" hidden="false" customHeight="true" outlineLevel="0" collapsed="false">
      <c r="A23" s="60" t="s">
        <v>425</v>
      </c>
      <c r="B23" s="18" t="s">
        <v>38</v>
      </c>
      <c r="C23" s="18" t="s">
        <v>805</v>
      </c>
      <c r="D23" s="19" t="s">
        <v>806</v>
      </c>
      <c r="E23" s="18" t="s">
        <v>807</v>
      </c>
      <c r="F23" s="19" t="s">
        <v>808</v>
      </c>
    </row>
    <row r="24" customFormat="false" ht="15" hidden="false" customHeight="true" outlineLevel="0" collapsed="false">
      <c r="A24" s="60" t="s">
        <v>425</v>
      </c>
      <c r="B24" s="18" t="s">
        <v>6</v>
      </c>
      <c r="C24" s="18" t="s">
        <v>809</v>
      </c>
      <c r="D24" s="19" t="s">
        <v>810</v>
      </c>
      <c r="E24" s="18" t="s">
        <v>811</v>
      </c>
      <c r="F24" s="19" t="s">
        <v>812</v>
      </c>
    </row>
    <row r="25" customFormat="false" ht="15" hidden="false" customHeight="true" outlineLevel="0" collapsed="false">
      <c r="A25" s="60" t="s">
        <v>425</v>
      </c>
      <c r="B25" s="18" t="s">
        <v>745</v>
      </c>
      <c r="C25" s="19" t="s">
        <v>813</v>
      </c>
      <c r="D25" s="18" t="s">
        <v>814</v>
      </c>
      <c r="E25" s="18" t="s">
        <v>815</v>
      </c>
      <c r="F25" s="19" t="s">
        <v>749</v>
      </c>
    </row>
    <row r="26" customFormat="false" ht="15" hidden="false" customHeight="true" outlineLevel="0" collapsed="false">
      <c r="A26" s="60" t="s">
        <v>425</v>
      </c>
      <c r="B26" s="18" t="s">
        <v>741</v>
      </c>
      <c r="C26" s="18" t="s">
        <v>816</v>
      </c>
      <c r="D26" s="19" t="s">
        <v>817</v>
      </c>
      <c r="E26" s="19" t="s">
        <v>818</v>
      </c>
      <c r="F26" s="19" t="s">
        <v>779</v>
      </c>
    </row>
    <row r="27" customFormat="false" ht="15" hidden="false" customHeight="true" outlineLevel="0" collapsed="false">
      <c r="A27" s="60" t="s">
        <v>425</v>
      </c>
      <c r="B27" s="18" t="s">
        <v>819</v>
      </c>
      <c r="C27" s="18" t="s">
        <v>820</v>
      </c>
      <c r="D27" s="19" t="s">
        <v>821</v>
      </c>
      <c r="E27" s="18" t="s">
        <v>822</v>
      </c>
      <c r="F27" s="19" t="s">
        <v>740</v>
      </c>
    </row>
    <row r="28" customFormat="false" ht="15" hidden="false" customHeight="true" outlineLevel="0" collapsed="false">
      <c r="A28" s="60" t="s">
        <v>425</v>
      </c>
      <c r="B28" s="18" t="s">
        <v>819</v>
      </c>
      <c r="C28" s="18" t="s">
        <v>823</v>
      </c>
      <c r="D28" s="19" t="s">
        <v>824</v>
      </c>
      <c r="E28" s="18" t="s">
        <v>825</v>
      </c>
      <c r="F28" s="19" t="s">
        <v>749</v>
      </c>
    </row>
    <row r="29" customFormat="false" ht="15" hidden="false" customHeight="true" outlineLevel="0" collapsed="false">
      <c r="A29" s="59" t="s">
        <v>429</v>
      </c>
      <c r="B29" s="18" t="s">
        <v>42</v>
      </c>
      <c r="C29" s="18" t="s">
        <v>826</v>
      </c>
      <c r="D29" s="19" t="s">
        <v>827</v>
      </c>
      <c r="E29" s="18" t="s">
        <v>828</v>
      </c>
      <c r="F29" s="19" t="s">
        <v>779</v>
      </c>
    </row>
    <row r="30" customFormat="false" ht="15" hidden="false" customHeight="true" outlineLevel="0" collapsed="false">
      <c r="A30" s="59" t="s">
        <v>429</v>
      </c>
      <c r="B30" s="18" t="s">
        <v>764</v>
      </c>
      <c r="C30" s="19" t="s">
        <v>829</v>
      </c>
      <c r="D30" s="18" t="s">
        <v>830</v>
      </c>
      <c r="E30" s="18" t="s">
        <v>831</v>
      </c>
      <c r="F30" s="19" t="s">
        <v>779</v>
      </c>
    </row>
    <row r="31" customFormat="false" ht="15" hidden="false" customHeight="true" outlineLevel="0" collapsed="false">
      <c r="A31" s="59" t="s">
        <v>429</v>
      </c>
      <c r="B31" s="18" t="s">
        <v>753</v>
      </c>
      <c r="C31" s="19" t="s">
        <v>832</v>
      </c>
      <c r="D31" s="18" t="s">
        <v>833</v>
      </c>
      <c r="E31" s="18" t="s">
        <v>834</v>
      </c>
      <c r="F31" s="19" t="s">
        <v>779</v>
      </c>
    </row>
    <row r="32" customFormat="false" ht="15" hidden="false" customHeight="true" outlineLevel="0" collapsed="false">
      <c r="A32" s="59" t="s">
        <v>429</v>
      </c>
      <c r="B32" s="18" t="s">
        <v>764</v>
      </c>
      <c r="C32" s="19" t="s">
        <v>835</v>
      </c>
      <c r="D32" s="18" t="s">
        <v>836</v>
      </c>
      <c r="E32" s="18" t="s">
        <v>837</v>
      </c>
      <c r="F32" s="19" t="s">
        <v>779</v>
      </c>
    </row>
    <row r="33" customFormat="false" ht="15" hidden="false" customHeight="true" outlineLevel="0" collapsed="false">
      <c r="A33" s="61" t="s">
        <v>838</v>
      </c>
      <c r="B33" s="18" t="s">
        <v>764</v>
      </c>
      <c r="C33" s="19" t="s">
        <v>839</v>
      </c>
      <c r="D33" s="18" t="s">
        <v>840</v>
      </c>
      <c r="E33" s="18" t="s">
        <v>841</v>
      </c>
      <c r="F33" s="19" t="s">
        <v>779</v>
      </c>
    </row>
    <row r="34" customFormat="false" ht="15" hidden="false" customHeight="true" outlineLevel="0" collapsed="false">
      <c r="A34" s="59" t="s">
        <v>429</v>
      </c>
      <c r="B34" s="18" t="s">
        <v>42</v>
      </c>
      <c r="C34" s="18" t="s">
        <v>842</v>
      </c>
      <c r="D34" s="19" t="s">
        <v>843</v>
      </c>
      <c r="E34" s="18" t="s">
        <v>844</v>
      </c>
      <c r="F34" s="19" t="s">
        <v>779</v>
      </c>
    </row>
    <row r="35" customFormat="false" ht="27" hidden="false" customHeight="true" outlineLevel="0" collapsed="false">
      <c r="A35" s="60" t="s">
        <v>425</v>
      </c>
      <c r="B35" s="18" t="s">
        <v>745</v>
      </c>
      <c r="C35" s="18" t="s">
        <v>845</v>
      </c>
      <c r="D35" s="18" t="s">
        <v>846</v>
      </c>
      <c r="E35" s="18" t="s">
        <v>847</v>
      </c>
      <c r="F35" s="19" t="s">
        <v>779</v>
      </c>
    </row>
    <row r="36" customFormat="false" ht="15" hidden="false" customHeight="true" outlineLevel="0" collapsed="false">
      <c r="A36" s="62" t="s">
        <v>848</v>
      </c>
      <c r="B36" s="18" t="s">
        <v>849</v>
      </c>
      <c r="C36" s="18" t="s">
        <v>850</v>
      </c>
      <c r="D36" s="18" t="s">
        <v>851</v>
      </c>
      <c r="E36" s="18" t="s">
        <v>852</v>
      </c>
      <c r="F36" s="18" t="s">
        <v>853</v>
      </c>
    </row>
    <row r="37" customFormat="false" ht="15" hidden="false" customHeight="true" outlineLevel="0" collapsed="false">
      <c r="A37" s="62" t="s">
        <v>848</v>
      </c>
      <c r="B37" s="18" t="s">
        <v>854</v>
      </c>
      <c r="C37" s="18" t="s">
        <v>855</v>
      </c>
      <c r="D37" s="18" t="s">
        <v>281</v>
      </c>
      <c r="E37" s="18" t="s">
        <v>856</v>
      </c>
      <c r="F37" s="18" t="s">
        <v>853</v>
      </c>
    </row>
    <row r="38" customFormat="false" ht="27.75" hidden="false" customHeight="true" outlineLevel="0" collapsed="false">
      <c r="A38" s="62" t="s">
        <v>848</v>
      </c>
      <c r="B38" s="18" t="s">
        <v>801</v>
      </c>
      <c r="C38" s="18" t="s">
        <v>857</v>
      </c>
      <c r="D38" s="18" t="s">
        <v>858</v>
      </c>
      <c r="E38" s="18" t="s">
        <v>859</v>
      </c>
      <c r="F38" s="18" t="s">
        <v>853</v>
      </c>
    </row>
    <row r="39" customFormat="false" ht="15" hidden="false" customHeight="true" outlineLevel="0" collapsed="false">
      <c r="A39" s="62" t="s">
        <v>848</v>
      </c>
      <c r="B39" s="18" t="s">
        <v>753</v>
      </c>
      <c r="C39" s="18" t="s">
        <v>860</v>
      </c>
      <c r="D39" s="19" t="s">
        <v>861</v>
      </c>
      <c r="E39" s="18" t="s">
        <v>862</v>
      </c>
      <c r="F39" s="18" t="s">
        <v>853</v>
      </c>
    </row>
    <row r="40" customFormat="false" ht="15" hidden="false" customHeight="true" outlineLevel="0" collapsed="false">
      <c r="A40" s="63" t="s">
        <v>425</v>
      </c>
      <c r="B40" s="18" t="s">
        <v>26</v>
      </c>
      <c r="C40" s="19" t="s">
        <v>863</v>
      </c>
      <c r="D40" s="18" t="s">
        <v>864</v>
      </c>
      <c r="E40" s="18" t="s">
        <v>865</v>
      </c>
      <c r="F40" s="19" t="s">
        <v>779</v>
      </c>
    </row>
    <row r="41" customFormat="false" ht="15" hidden="false" customHeight="true" outlineLevel="0" collapsed="false">
      <c r="A41" s="64" t="s">
        <v>429</v>
      </c>
      <c r="B41" s="18" t="s">
        <v>753</v>
      </c>
      <c r="C41" s="18" t="s">
        <v>866</v>
      </c>
      <c r="D41" s="19" t="s">
        <v>867</v>
      </c>
      <c r="E41" s="19" t="s">
        <v>868</v>
      </c>
      <c r="F41" s="19" t="s">
        <v>869</v>
      </c>
    </row>
    <row r="42" customFormat="false" ht="15" hidden="false" customHeight="true" outlineLevel="0" collapsed="false">
      <c r="A42" s="64" t="s">
        <v>429</v>
      </c>
      <c r="B42" s="18" t="s">
        <v>870</v>
      </c>
      <c r="C42" s="18" t="s">
        <v>871</v>
      </c>
      <c r="D42" s="19" t="s">
        <v>872</v>
      </c>
      <c r="E42" s="19" t="s">
        <v>873</v>
      </c>
      <c r="F42" s="19" t="s">
        <v>869</v>
      </c>
    </row>
    <row r="43" customFormat="false" ht="15" hidden="false" customHeight="true" outlineLevel="0" collapsed="false">
      <c r="A43" s="64" t="s">
        <v>429</v>
      </c>
      <c r="B43" s="18" t="s">
        <v>764</v>
      </c>
      <c r="C43" s="19" t="s">
        <v>874</v>
      </c>
      <c r="D43" s="19" t="s">
        <v>875</v>
      </c>
      <c r="E43" s="18" t="s">
        <v>876</v>
      </c>
      <c r="F43" s="19" t="s">
        <v>869</v>
      </c>
    </row>
    <row r="44" customFormat="false" ht="15" hidden="false" customHeight="true" outlineLevel="0" collapsed="false">
      <c r="A44" s="63" t="s">
        <v>425</v>
      </c>
      <c r="B44" s="18" t="s">
        <v>38</v>
      </c>
      <c r="C44" s="18" t="s">
        <v>877</v>
      </c>
      <c r="D44" s="19" t="s">
        <v>878</v>
      </c>
      <c r="E44" s="18" t="s">
        <v>879</v>
      </c>
      <c r="F44" s="19" t="s">
        <v>869</v>
      </c>
    </row>
    <row r="45" customFormat="false" ht="15" hidden="false" customHeight="true" outlineLevel="0" collapsed="false">
      <c r="A45" s="64" t="s">
        <v>429</v>
      </c>
      <c r="B45" s="18" t="s">
        <v>26</v>
      </c>
      <c r="C45" s="18" t="s">
        <v>28</v>
      </c>
      <c r="D45" s="18" t="s">
        <v>880</v>
      </c>
      <c r="E45" s="18" t="s">
        <v>881</v>
      </c>
      <c r="F45" s="19" t="s">
        <v>291</v>
      </c>
    </row>
    <row r="46" customFormat="false" ht="15" hidden="false" customHeight="true" outlineLevel="0" collapsed="false">
      <c r="A46" s="64" t="s">
        <v>429</v>
      </c>
      <c r="B46" s="18" t="s">
        <v>26</v>
      </c>
      <c r="C46" s="18" t="s">
        <v>882</v>
      </c>
      <c r="D46" s="18" t="s">
        <v>883</v>
      </c>
      <c r="E46" s="18" t="s">
        <v>884</v>
      </c>
      <c r="F46" s="19" t="s">
        <v>291</v>
      </c>
    </row>
    <row r="47" customFormat="false" ht="15" hidden="false" customHeight="true" outlineLevel="0" collapsed="false">
      <c r="A47" s="64" t="s">
        <v>429</v>
      </c>
      <c r="B47" s="18" t="s">
        <v>42</v>
      </c>
      <c r="C47" s="18" t="s">
        <v>885</v>
      </c>
      <c r="D47" s="18" t="s">
        <v>886</v>
      </c>
      <c r="E47" s="18" t="s">
        <v>887</v>
      </c>
      <c r="F47" s="19" t="s">
        <v>291</v>
      </c>
    </row>
    <row r="48" customFormat="false" ht="15" hidden="false" customHeight="true" outlineLevel="0" collapsed="false">
      <c r="A48" s="64" t="s">
        <v>429</v>
      </c>
      <c r="B48" s="18" t="s">
        <v>42</v>
      </c>
      <c r="C48" s="18" t="s">
        <v>888</v>
      </c>
      <c r="D48" s="19" t="s">
        <v>889</v>
      </c>
      <c r="E48" s="18" t="s">
        <v>890</v>
      </c>
      <c r="F48" s="19" t="s">
        <v>291</v>
      </c>
    </row>
    <row r="49" customFormat="false" ht="15" hidden="false" customHeight="true" outlineLevel="0" collapsed="false">
      <c r="A49" s="64" t="s">
        <v>429</v>
      </c>
      <c r="B49" s="18" t="s">
        <v>741</v>
      </c>
      <c r="C49" s="21" t="s">
        <v>891</v>
      </c>
      <c r="D49" s="19" t="s">
        <v>892</v>
      </c>
      <c r="E49" s="21" t="s">
        <v>893</v>
      </c>
      <c r="F49" s="18" t="s">
        <v>894</v>
      </c>
    </row>
    <row r="50" customFormat="false" ht="15" hidden="false" customHeight="true" outlineLevel="0" collapsed="false">
      <c r="A50" s="64" t="s">
        <v>429</v>
      </c>
      <c r="B50" s="18" t="s">
        <v>895</v>
      </c>
      <c r="C50" s="18" t="s">
        <v>896</v>
      </c>
      <c r="D50" s="18" t="s">
        <v>897</v>
      </c>
      <c r="E50" s="18" t="s">
        <v>898</v>
      </c>
      <c r="F50" s="18" t="s">
        <v>894</v>
      </c>
    </row>
    <row r="51" customFormat="false" ht="15" hidden="false" customHeight="true" outlineLevel="0" collapsed="false">
      <c r="A51" s="64" t="s">
        <v>429</v>
      </c>
      <c r="B51" s="18" t="s">
        <v>26</v>
      </c>
      <c r="C51" s="18" t="s">
        <v>899</v>
      </c>
      <c r="D51" s="19" t="s">
        <v>900</v>
      </c>
      <c r="E51" s="18" t="s">
        <v>901</v>
      </c>
      <c r="F51" s="18" t="s">
        <v>894</v>
      </c>
    </row>
    <row r="52" customFormat="false" ht="15" hidden="false" customHeight="true" outlineLevel="0" collapsed="false">
      <c r="A52" s="64" t="s">
        <v>838</v>
      </c>
      <c r="B52" s="18" t="s">
        <v>38</v>
      </c>
      <c r="C52" s="21" t="s">
        <v>902</v>
      </c>
      <c r="D52" s="19" t="s">
        <v>903</v>
      </c>
      <c r="E52" s="18" t="s">
        <v>904</v>
      </c>
      <c r="F52" s="18" t="s">
        <v>894</v>
      </c>
    </row>
    <row r="53" customFormat="false" ht="15" hidden="false" customHeight="true" outlineLevel="0" collapsed="false">
      <c r="A53" s="64" t="s">
        <v>429</v>
      </c>
      <c r="B53" s="18" t="s">
        <v>42</v>
      </c>
      <c r="C53" s="18" t="s">
        <v>905</v>
      </c>
      <c r="D53" s="18" t="s">
        <v>906</v>
      </c>
      <c r="E53" s="18" t="s">
        <v>907</v>
      </c>
      <c r="F53" s="18" t="s">
        <v>894</v>
      </c>
    </row>
    <row r="54" customFormat="false" ht="27.75" hidden="false" customHeight="true" outlineLevel="0" collapsed="false">
      <c r="A54" s="64" t="s">
        <v>429</v>
      </c>
      <c r="B54" s="18" t="s">
        <v>764</v>
      </c>
      <c r="C54" s="21" t="s">
        <v>908</v>
      </c>
      <c r="D54" s="19" t="s">
        <v>909</v>
      </c>
      <c r="E54" s="18" t="s">
        <v>910</v>
      </c>
      <c r="F54" s="18" t="s">
        <v>911</v>
      </c>
    </row>
    <row r="55" customFormat="false" ht="15" hidden="false" customHeight="true" outlineLevel="0" collapsed="false">
      <c r="A55" s="64" t="s">
        <v>838</v>
      </c>
      <c r="B55" s="18" t="s">
        <v>854</v>
      </c>
      <c r="C55" s="21" t="s">
        <v>912</v>
      </c>
      <c r="D55" s="18" t="s">
        <v>913</v>
      </c>
      <c r="E55" s="21" t="s">
        <v>914</v>
      </c>
      <c r="F55" s="18" t="s">
        <v>915</v>
      </c>
    </row>
    <row r="56" customFormat="false" ht="15" hidden="false" customHeight="true" outlineLevel="0" collapsed="false">
      <c r="A56" s="64" t="s">
        <v>425</v>
      </c>
      <c r="B56" s="18" t="s">
        <v>753</v>
      </c>
      <c r="C56" s="18" t="s">
        <v>916</v>
      </c>
      <c r="D56" s="18" t="s">
        <v>917</v>
      </c>
      <c r="E56" s="18" t="s">
        <v>918</v>
      </c>
      <c r="F56" s="18" t="s">
        <v>894</v>
      </c>
    </row>
    <row r="57" customFormat="false" ht="15" hidden="false" customHeight="true" outlineLevel="0" collapsed="false">
      <c r="A57" s="64" t="s">
        <v>425</v>
      </c>
      <c r="B57" s="18" t="s">
        <v>745</v>
      </c>
      <c r="C57" s="21" t="s">
        <v>919</v>
      </c>
      <c r="D57" s="19" t="s">
        <v>920</v>
      </c>
      <c r="E57" s="18" t="s">
        <v>921</v>
      </c>
      <c r="F57" s="18" t="s">
        <v>894</v>
      </c>
    </row>
    <row r="58" customFormat="false" ht="15" hidden="false" customHeight="true" outlineLevel="0" collapsed="false">
      <c r="A58" s="64" t="s">
        <v>429</v>
      </c>
      <c r="B58" s="18" t="s">
        <v>38</v>
      </c>
      <c r="C58" s="21" t="s">
        <v>922</v>
      </c>
      <c r="D58" s="18" t="s">
        <v>923</v>
      </c>
      <c r="E58" s="18" t="s">
        <v>924</v>
      </c>
      <c r="F58" s="18" t="s">
        <v>911</v>
      </c>
    </row>
    <row r="59" customFormat="false" ht="15" hidden="false" customHeight="true" outlineLevel="0" collapsed="false">
      <c r="A59" s="64" t="s">
        <v>429</v>
      </c>
      <c r="B59" s="18" t="s">
        <v>261</v>
      </c>
      <c r="C59" s="18" t="s">
        <v>925</v>
      </c>
      <c r="D59" s="18" t="s">
        <v>926</v>
      </c>
      <c r="E59" s="18" t="s">
        <v>927</v>
      </c>
      <c r="F59" s="18" t="s">
        <v>894</v>
      </c>
    </row>
    <row r="60" customFormat="false" ht="15" hidden="false" customHeight="true" outlineLevel="0" collapsed="false">
      <c r="A60" s="64" t="s">
        <v>429</v>
      </c>
      <c r="B60" s="18" t="s">
        <v>895</v>
      </c>
      <c r="C60" s="18" t="s">
        <v>928</v>
      </c>
      <c r="D60" s="21" t="s">
        <v>929</v>
      </c>
      <c r="E60" s="18" t="s">
        <v>930</v>
      </c>
      <c r="F60" s="18" t="s">
        <v>915</v>
      </c>
    </row>
    <row r="61" customFormat="false" ht="15" hidden="false" customHeight="true" outlineLevel="0" collapsed="false">
      <c r="A61" s="64" t="s">
        <v>429</v>
      </c>
      <c r="B61" s="18" t="s">
        <v>895</v>
      </c>
      <c r="C61" s="18" t="s">
        <v>931</v>
      </c>
      <c r="D61" s="21" t="s">
        <v>932</v>
      </c>
      <c r="E61" s="18" t="s">
        <v>933</v>
      </c>
      <c r="F61" s="18" t="s">
        <v>915</v>
      </c>
    </row>
    <row r="62" customFormat="false" ht="15" hidden="false" customHeight="true" outlineLevel="0" collapsed="false">
      <c r="A62" s="64" t="s">
        <v>429</v>
      </c>
      <c r="B62" s="18" t="s">
        <v>764</v>
      </c>
      <c r="C62" s="21" t="s">
        <v>934</v>
      </c>
      <c r="D62" s="21" t="s">
        <v>935</v>
      </c>
      <c r="E62" s="21" t="s">
        <v>936</v>
      </c>
      <c r="F62" s="18" t="s">
        <v>911</v>
      </c>
    </row>
    <row r="63" customFormat="false" ht="15" hidden="false" customHeight="true" outlineLevel="0" collapsed="false">
      <c r="A63" s="64" t="s">
        <v>429</v>
      </c>
      <c r="B63" s="18" t="s">
        <v>753</v>
      </c>
      <c r="C63" s="21" t="s">
        <v>937</v>
      </c>
      <c r="D63" s="18" t="s">
        <v>938</v>
      </c>
      <c r="E63" s="18" t="s">
        <v>939</v>
      </c>
      <c r="F63" s="18" t="s">
        <v>911</v>
      </c>
    </row>
    <row r="64" customFormat="false" ht="15" hidden="false" customHeight="true" outlineLevel="0" collapsed="false">
      <c r="A64" s="64" t="s">
        <v>425</v>
      </c>
      <c r="B64" s="18" t="s">
        <v>745</v>
      </c>
      <c r="C64" s="21" t="s">
        <v>940</v>
      </c>
      <c r="D64" s="21" t="s">
        <v>941</v>
      </c>
      <c r="E64" s="18" t="s">
        <v>942</v>
      </c>
      <c r="F64" s="18" t="s">
        <v>915</v>
      </c>
    </row>
    <row r="65" customFormat="false" ht="15" hidden="false" customHeight="true" outlineLevel="0" collapsed="false">
      <c r="A65" s="64" t="s">
        <v>429</v>
      </c>
      <c r="B65" s="18" t="s">
        <v>42</v>
      </c>
      <c r="C65" s="18" t="s">
        <v>943</v>
      </c>
      <c r="D65" s="18" t="s">
        <v>944</v>
      </c>
      <c r="E65" s="18" t="s">
        <v>945</v>
      </c>
      <c r="F65" s="18" t="s">
        <v>911</v>
      </c>
    </row>
    <row r="66" customFormat="false" ht="15" hidden="false" customHeight="true" outlineLevel="0" collapsed="false">
      <c r="A66" s="64" t="s">
        <v>425</v>
      </c>
      <c r="B66" s="18" t="s">
        <v>753</v>
      </c>
      <c r="C66" s="18" t="s">
        <v>946</v>
      </c>
      <c r="D66" s="21" t="s">
        <v>947</v>
      </c>
      <c r="E66" s="18" t="s">
        <v>948</v>
      </c>
      <c r="F66" s="18" t="s">
        <v>915</v>
      </c>
    </row>
    <row r="67" customFormat="false" ht="15" hidden="false" customHeight="true" outlineLevel="0" collapsed="false">
      <c r="A67" s="64" t="s">
        <v>429</v>
      </c>
      <c r="B67" s="18" t="s">
        <v>261</v>
      </c>
      <c r="C67" s="18" t="s">
        <v>949</v>
      </c>
      <c r="D67" s="21" t="s">
        <v>950</v>
      </c>
      <c r="E67" s="18" t="s">
        <v>951</v>
      </c>
      <c r="F67" s="18" t="s">
        <v>915</v>
      </c>
    </row>
    <row r="68" customFormat="false" ht="15" hidden="false" customHeight="true" outlineLevel="0" collapsed="false">
      <c r="A68" s="64" t="s">
        <v>429</v>
      </c>
      <c r="B68" s="18" t="s">
        <v>819</v>
      </c>
      <c r="C68" s="21" t="s">
        <v>952</v>
      </c>
      <c r="D68" s="21" t="s">
        <v>953</v>
      </c>
      <c r="E68" s="18" t="s">
        <v>954</v>
      </c>
      <c r="F68" s="18" t="s">
        <v>955</v>
      </c>
    </row>
    <row r="69" customFormat="false" ht="55.5" hidden="false" customHeight="true" outlineLevel="0" collapsed="false">
      <c r="A69" s="64" t="s">
        <v>429</v>
      </c>
      <c r="B69" s="18" t="s">
        <v>753</v>
      </c>
      <c r="C69" s="21" t="s">
        <v>956</v>
      </c>
      <c r="D69" s="21" t="s">
        <v>957</v>
      </c>
      <c r="E69" s="21" t="s">
        <v>958</v>
      </c>
      <c r="F69" s="18" t="s">
        <v>955</v>
      </c>
    </row>
    <row r="70" customFormat="false" ht="55.5" hidden="false" customHeight="true" outlineLevel="0" collapsed="false">
      <c r="A70" s="64" t="s">
        <v>429</v>
      </c>
      <c r="B70" s="18" t="s">
        <v>764</v>
      </c>
      <c r="C70" s="18" t="s">
        <v>959</v>
      </c>
      <c r="D70" s="21" t="s">
        <v>960</v>
      </c>
      <c r="E70" s="21" t="s">
        <v>961</v>
      </c>
      <c r="F70" s="18" t="s">
        <v>962</v>
      </c>
    </row>
    <row r="71" customFormat="false" ht="42" hidden="false" customHeight="true" outlineLevel="0" collapsed="false">
      <c r="A71" s="64" t="s">
        <v>429</v>
      </c>
      <c r="B71" s="18" t="s">
        <v>764</v>
      </c>
      <c r="C71" s="21" t="s">
        <v>963</v>
      </c>
      <c r="D71" s="21" t="s">
        <v>964</v>
      </c>
      <c r="E71" s="21" t="s">
        <v>965</v>
      </c>
      <c r="F71" s="18" t="s">
        <v>962</v>
      </c>
    </row>
    <row r="72" customFormat="false" ht="42" hidden="false" customHeight="true" outlineLevel="0" collapsed="false">
      <c r="A72" s="64" t="s">
        <v>429</v>
      </c>
      <c r="B72" s="18" t="s">
        <v>764</v>
      </c>
      <c r="C72" s="21" t="s">
        <v>966</v>
      </c>
      <c r="D72" s="21" t="s">
        <v>967</v>
      </c>
      <c r="E72" s="18" t="s">
        <v>968</v>
      </c>
      <c r="F72" s="18" t="s">
        <v>955</v>
      </c>
    </row>
    <row r="73" customFormat="false" ht="42" hidden="false" customHeight="true" outlineLevel="0" collapsed="false">
      <c r="A73" s="64" t="s">
        <v>429</v>
      </c>
      <c r="B73" s="18" t="s">
        <v>42</v>
      </c>
      <c r="C73" s="18" t="s">
        <v>969</v>
      </c>
      <c r="D73" s="18" t="s">
        <v>970</v>
      </c>
      <c r="E73" s="18" t="s">
        <v>971</v>
      </c>
      <c r="F73" s="18" t="s">
        <v>955</v>
      </c>
    </row>
    <row r="74" customFormat="false" ht="42" hidden="false" customHeight="true" outlineLevel="0" collapsed="false">
      <c r="A74" s="64" t="s">
        <v>429</v>
      </c>
      <c r="B74" s="18" t="s">
        <v>26</v>
      </c>
      <c r="C74" s="18" t="s">
        <v>972</v>
      </c>
      <c r="D74" s="18" t="s">
        <v>973</v>
      </c>
      <c r="E74" s="18" t="s">
        <v>974</v>
      </c>
      <c r="F74" s="18" t="s">
        <v>962</v>
      </c>
    </row>
    <row r="75" customFormat="false" ht="28.5" hidden="false" customHeight="true" outlineLevel="0" collapsed="false">
      <c r="A75" s="64" t="s">
        <v>425</v>
      </c>
      <c r="B75" s="18" t="s">
        <v>26</v>
      </c>
      <c r="C75" s="18" t="s">
        <v>975</v>
      </c>
      <c r="D75" s="18" t="s">
        <v>976</v>
      </c>
      <c r="E75" s="18" t="s">
        <v>977</v>
      </c>
      <c r="F75" s="18" t="s">
        <v>955</v>
      </c>
    </row>
    <row r="76" customFormat="false" ht="28.5" hidden="false" customHeight="true" outlineLevel="0" collapsed="false">
      <c r="A76" s="64" t="s">
        <v>429</v>
      </c>
      <c r="B76" s="18" t="s">
        <v>753</v>
      </c>
      <c r="C76" s="18" t="s">
        <v>978</v>
      </c>
      <c r="D76" s="21" t="s">
        <v>979</v>
      </c>
      <c r="E76" s="21" t="s">
        <v>980</v>
      </c>
      <c r="F76" s="18" t="s">
        <v>955</v>
      </c>
    </row>
    <row r="77" customFormat="false" ht="28.5" hidden="false" customHeight="true" outlineLevel="0" collapsed="false">
      <c r="A77" s="64" t="s">
        <v>425</v>
      </c>
      <c r="B77" s="18" t="s">
        <v>764</v>
      </c>
      <c r="C77" s="18" t="s">
        <v>981</v>
      </c>
      <c r="D77" s="18" t="s">
        <v>982</v>
      </c>
      <c r="E77" s="18" t="s">
        <v>983</v>
      </c>
      <c r="F77" s="18" t="s">
        <v>962</v>
      </c>
    </row>
    <row r="78" customFormat="false" ht="28.5" hidden="false" customHeight="true" outlineLevel="0" collapsed="false">
      <c r="A78" s="64" t="s">
        <v>425</v>
      </c>
      <c r="B78" s="18" t="s">
        <v>764</v>
      </c>
      <c r="C78" s="18" t="s">
        <v>984</v>
      </c>
      <c r="D78" s="21" t="s">
        <v>985</v>
      </c>
      <c r="E78" s="18" t="s">
        <v>986</v>
      </c>
      <c r="F78" s="18" t="s">
        <v>962</v>
      </c>
    </row>
    <row r="79" customFormat="false" ht="55.5" hidden="false" customHeight="true" outlineLevel="0" collapsed="false">
      <c r="A79" s="64" t="s">
        <v>429</v>
      </c>
      <c r="B79" s="18" t="s">
        <v>764</v>
      </c>
      <c r="C79" s="21" t="s">
        <v>987</v>
      </c>
      <c r="D79" s="21" t="s">
        <v>988</v>
      </c>
      <c r="E79" s="21" t="s">
        <v>989</v>
      </c>
      <c r="F79" s="18" t="s">
        <v>962</v>
      </c>
    </row>
    <row r="80" customFormat="false" ht="55.5" hidden="false" customHeight="true" outlineLevel="0" collapsed="false">
      <c r="A80" s="64" t="s">
        <v>425</v>
      </c>
      <c r="B80" s="18" t="s">
        <v>753</v>
      </c>
      <c r="C80" s="21" t="s">
        <v>990</v>
      </c>
      <c r="D80" s="21" t="s">
        <v>991</v>
      </c>
      <c r="E80" s="18" t="s">
        <v>992</v>
      </c>
      <c r="F80" s="18" t="s">
        <v>962</v>
      </c>
    </row>
    <row r="81" customFormat="false" ht="69" hidden="false" customHeight="true" outlineLevel="0" collapsed="false">
      <c r="A81" s="64" t="s">
        <v>429</v>
      </c>
      <c r="B81" s="18" t="s">
        <v>764</v>
      </c>
      <c r="C81" s="21" t="s">
        <v>993</v>
      </c>
      <c r="D81" s="21" t="s">
        <v>994</v>
      </c>
      <c r="E81" s="18" t="s">
        <v>995</v>
      </c>
      <c r="F81" s="18" t="s">
        <v>962</v>
      </c>
    </row>
    <row r="82" customFormat="false" ht="42" hidden="false" customHeight="true" outlineLevel="0" collapsed="false">
      <c r="A82" s="64" t="s">
        <v>429</v>
      </c>
      <c r="B82" s="18" t="s">
        <v>38</v>
      </c>
      <c r="C82" s="21" t="s">
        <v>996</v>
      </c>
      <c r="D82" s="21" t="s">
        <v>997</v>
      </c>
      <c r="E82" s="21" t="s">
        <v>998</v>
      </c>
      <c r="F82" s="18" t="s">
        <v>962</v>
      </c>
    </row>
    <row r="83" customFormat="false" ht="28.5" hidden="false" customHeight="true" outlineLevel="0" collapsed="false">
      <c r="A83" s="64" t="s">
        <v>429</v>
      </c>
      <c r="B83" s="18" t="s">
        <v>42</v>
      </c>
      <c r="C83" s="18" t="s">
        <v>999</v>
      </c>
      <c r="D83" s="21" t="s">
        <v>1000</v>
      </c>
      <c r="E83" s="18" t="s">
        <v>1001</v>
      </c>
      <c r="F83" s="18" t="s">
        <v>962</v>
      </c>
    </row>
    <row r="84" customFormat="false" ht="55.5" hidden="false" customHeight="true" outlineLevel="0" collapsed="false">
      <c r="A84" s="64" t="s">
        <v>838</v>
      </c>
      <c r="B84" s="18" t="s">
        <v>764</v>
      </c>
      <c r="C84" s="18" t="s">
        <v>1002</v>
      </c>
      <c r="D84" s="21" t="s">
        <v>1003</v>
      </c>
      <c r="E84" s="21" t="s">
        <v>1004</v>
      </c>
      <c r="F84" s="18" t="s">
        <v>962</v>
      </c>
    </row>
    <row r="85" customFormat="false" ht="28.5" hidden="false" customHeight="true" outlineLevel="0" collapsed="false">
      <c r="A85" s="64" t="s">
        <v>425</v>
      </c>
      <c r="B85" s="18" t="s">
        <v>26</v>
      </c>
      <c r="C85" s="21" t="s">
        <v>1005</v>
      </c>
      <c r="D85" s="21" t="s">
        <v>1006</v>
      </c>
      <c r="E85" s="18" t="s">
        <v>1007</v>
      </c>
      <c r="F85" s="18" t="s">
        <v>962</v>
      </c>
    </row>
    <row r="86" customFormat="false" ht="28.5" hidden="false" customHeight="true" outlineLevel="0" collapsed="false">
      <c r="A86" s="64" t="s">
        <v>838</v>
      </c>
      <c r="B86" s="18" t="s">
        <v>764</v>
      </c>
      <c r="C86" s="21" t="s">
        <v>1008</v>
      </c>
      <c r="D86" s="21" t="s">
        <v>1009</v>
      </c>
      <c r="E86" s="18" t="s">
        <v>1010</v>
      </c>
      <c r="F86" s="18" t="s">
        <v>1011</v>
      </c>
    </row>
    <row r="87" customFormat="false" ht="28.5" hidden="false" customHeight="true" outlineLevel="0" collapsed="false">
      <c r="A87" s="64" t="s">
        <v>838</v>
      </c>
      <c r="B87" s="18" t="s">
        <v>753</v>
      </c>
      <c r="C87" s="21" t="s">
        <v>1012</v>
      </c>
      <c r="D87" s="21" t="s">
        <v>1013</v>
      </c>
      <c r="E87" s="18" t="s">
        <v>1014</v>
      </c>
      <c r="F87" s="18" t="s">
        <v>1011</v>
      </c>
    </row>
    <row r="88" customFormat="false" ht="42" hidden="false" customHeight="true" outlineLevel="0" collapsed="false">
      <c r="A88" s="64" t="s">
        <v>838</v>
      </c>
      <c r="B88" s="18" t="s">
        <v>26</v>
      </c>
      <c r="C88" s="18" t="s">
        <v>1015</v>
      </c>
      <c r="D88" s="21" t="s">
        <v>1016</v>
      </c>
      <c r="E88" s="18" t="s">
        <v>1017</v>
      </c>
      <c r="F88" s="18" t="s">
        <v>1011</v>
      </c>
    </row>
    <row r="89" customFormat="false" ht="28.5" hidden="false" customHeight="true" outlineLevel="0" collapsed="false">
      <c r="A89" s="64" t="s">
        <v>838</v>
      </c>
      <c r="B89" s="18" t="s">
        <v>22</v>
      </c>
      <c r="C89" s="21" t="s">
        <v>1018</v>
      </c>
      <c r="D89" s="18" t="s">
        <v>1019</v>
      </c>
      <c r="E89" s="18" t="s">
        <v>1020</v>
      </c>
      <c r="F89" s="18" t="s">
        <v>1021</v>
      </c>
    </row>
    <row r="90" customFormat="false" ht="28.5" hidden="false" customHeight="true" outlineLevel="0" collapsed="false">
      <c r="A90" s="64" t="s">
        <v>838</v>
      </c>
      <c r="B90" s="18" t="s">
        <v>38</v>
      </c>
      <c r="C90" s="18" t="s">
        <v>1022</v>
      </c>
      <c r="D90" s="18" t="s">
        <v>1023</v>
      </c>
      <c r="E90" s="18" t="s">
        <v>1024</v>
      </c>
      <c r="F90" s="18" t="s">
        <v>1011</v>
      </c>
    </row>
    <row r="91" customFormat="false" ht="28.5" hidden="false" customHeight="true" outlineLevel="0" collapsed="false">
      <c r="A91" s="64" t="s">
        <v>838</v>
      </c>
      <c r="B91" s="18" t="s">
        <v>42</v>
      </c>
      <c r="C91" s="18" t="s">
        <v>1025</v>
      </c>
      <c r="D91" s="21" t="s">
        <v>1026</v>
      </c>
      <c r="E91" s="18" t="s">
        <v>1027</v>
      </c>
      <c r="F91" s="18" t="s">
        <v>1011</v>
      </c>
    </row>
    <row r="92" customFormat="false" ht="28.5" hidden="false" customHeight="true" outlineLevel="0" collapsed="false">
      <c r="A92" s="64" t="s">
        <v>838</v>
      </c>
      <c r="B92" s="18" t="s">
        <v>26</v>
      </c>
      <c r="C92" s="21" t="s">
        <v>1028</v>
      </c>
      <c r="D92" s="18" t="s">
        <v>1029</v>
      </c>
      <c r="E92" s="18" t="s">
        <v>1030</v>
      </c>
      <c r="F92" s="18" t="s">
        <v>1021</v>
      </c>
    </row>
    <row r="93" customFormat="false" ht="28.5" hidden="false" customHeight="true" outlineLevel="0" collapsed="false">
      <c r="A93" s="64" t="s">
        <v>838</v>
      </c>
      <c r="B93" s="18" t="s">
        <v>38</v>
      </c>
      <c r="C93" s="18" t="s">
        <v>1031</v>
      </c>
      <c r="D93" s="21" t="s">
        <v>1032</v>
      </c>
      <c r="E93" s="18" t="s">
        <v>1033</v>
      </c>
      <c r="F93" s="18" t="s">
        <v>1011</v>
      </c>
    </row>
    <row r="95" customFormat="false" ht="15" hidden="false" customHeight="true" outlineLevel="0" collapsed="false">
      <c r="A95" s="1" t="s">
        <v>1034</v>
      </c>
      <c r="C95" s="1" t="s">
        <v>1035</v>
      </c>
      <c r="D95" s="1" t="n">
        <f aca="false">COUNTIF(A5:A93,"✅")</f>
        <v>48</v>
      </c>
    </row>
    <row r="96" customFormat="false" ht="15" hidden="false" customHeight="true" outlineLevel="0" collapsed="false">
      <c r="C96" s="1" t="s">
        <v>1036</v>
      </c>
      <c r="D96" s="1" t="n">
        <f aca="false">COUNTIF(A5:A93,"❌")</f>
        <v>25</v>
      </c>
    </row>
    <row r="97" customFormat="false" ht="15" hidden="false" customHeight="true" outlineLevel="0" collapsed="false">
      <c r="C97" s="1" t="s">
        <v>1037</v>
      </c>
      <c r="D97" s="1" t="n">
        <f aca="false">COUNTIF(A5:A93,"⏳")</f>
        <v>12</v>
      </c>
    </row>
    <row r="98" customFormat="false" ht="15" hidden="false" customHeight="true" outlineLevel="0" collapsed="false">
      <c r="C98" s="1" t="s">
        <v>1038</v>
      </c>
      <c r="D98" s="1" t="n">
        <f aca="false">COUNTIF(A5:A93,"⬜")</f>
        <v>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" width="7.62"/>
    <col collapsed="false" customWidth="true" hidden="false" outlineLevel="0" max="2" min="2" style="1" width="28.3"/>
    <col collapsed="false" customWidth="true" hidden="false" outlineLevel="0" max="3" min="3" style="1" width="45.69"/>
    <col collapsed="false" customWidth="true" hidden="false" outlineLevel="0" max="4" min="4" style="1" width="65.3"/>
  </cols>
  <sheetData>
    <row r="1" customFormat="false" ht="17.25" hidden="false" customHeight="true" outlineLevel="0" collapsed="false">
      <c r="A1" s="2" t="s">
        <v>1039</v>
      </c>
    </row>
    <row r="2" customFormat="false" ht="31.5" hidden="false" customHeight="true" outlineLevel="0" collapsed="false">
      <c r="A2" s="3" t="s">
        <v>1040</v>
      </c>
      <c r="B2" s="3"/>
      <c r="C2" s="3"/>
      <c r="D2" s="3"/>
    </row>
    <row r="4" customFormat="false" ht="15" hidden="false" customHeight="true" outlineLevel="0" collapsed="false">
      <c r="A4" s="13" t="s">
        <v>1041</v>
      </c>
      <c r="B4" s="13" t="s">
        <v>1042</v>
      </c>
      <c r="C4" s="13" t="s">
        <v>1043</v>
      </c>
      <c r="D4" s="13" t="s">
        <v>1044</v>
      </c>
    </row>
    <row r="5" customFormat="false" ht="15" hidden="false" customHeight="true" outlineLevel="0" collapsed="false">
      <c r="A5" s="65" t="n">
        <v>1</v>
      </c>
      <c r="B5" s="18" t="s">
        <v>1045</v>
      </c>
      <c r="C5" s="19" t="s">
        <v>1046</v>
      </c>
      <c r="D5" s="19" t="s">
        <v>1047</v>
      </c>
    </row>
    <row r="6" customFormat="false" ht="41.25" hidden="false" customHeight="true" outlineLevel="0" collapsed="false">
      <c r="A6" s="65" t="n">
        <v>2</v>
      </c>
      <c r="B6" s="18" t="s">
        <v>1048</v>
      </c>
      <c r="C6" s="19" t="s">
        <v>1049</v>
      </c>
      <c r="D6" s="18" t="s">
        <v>1050</v>
      </c>
    </row>
    <row r="7" customFormat="false" ht="27" hidden="false" customHeight="true" outlineLevel="0" collapsed="false">
      <c r="A7" s="65" t="n">
        <v>3</v>
      </c>
      <c r="B7" s="18" t="s">
        <v>1051</v>
      </c>
      <c r="C7" s="19" t="s">
        <v>1052</v>
      </c>
      <c r="D7" s="18" t="s">
        <v>1053</v>
      </c>
    </row>
    <row r="8" customFormat="false" ht="15" hidden="false" customHeight="true" outlineLevel="0" collapsed="false">
      <c r="A8" s="65" t="n">
        <v>4</v>
      </c>
      <c r="B8" s="18" t="s">
        <v>1054</v>
      </c>
      <c r="C8" s="19" t="s">
        <v>1055</v>
      </c>
      <c r="D8" s="18" t="s">
        <v>1056</v>
      </c>
    </row>
    <row r="9" customFormat="false" ht="15" hidden="false" customHeight="true" outlineLevel="0" collapsed="false">
      <c r="A9" s="65" t="n">
        <v>5</v>
      </c>
      <c r="B9" s="18" t="s">
        <v>1057</v>
      </c>
      <c r="C9" s="19" t="s">
        <v>1058</v>
      </c>
      <c r="D9" s="18" t="s">
        <v>1059</v>
      </c>
    </row>
    <row r="10" customFormat="false" ht="15" hidden="false" customHeight="true" outlineLevel="0" collapsed="false">
      <c r="A10" s="65" t="n">
        <v>6</v>
      </c>
      <c r="B10" s="18" t="s">
        <v>1060</v>
      </c>
      <c r="C10" s="19" t="s">
        <v>1061</v>
      </c>
      <c r="D10" s="18" t="s">
        <v>1062</v>
      </c>
    </row>
    <row r="11" customFormat="false" ht="27.75" hidden="false" customHeight="true" outlineLevel="0" collapsed="false">
      <c r="A11" s="65" t="n">
        <v>7</v>
      </c>
      <c r="B11" s="18" t="s">
        <v>1063</v>
      </c>
      <c r="C11" s="19" t="s">
        <v>1064</v>
      </c>
      <c r="D11" s="18" t="s">
        <v>1065</v>
      </c>
    </row>
    <row r="12" customFormat="false" ht="15" hidden="false" customHeight="true" outlineLevel="0" collapsed="false">
      <c r="A12" s="65" t="n">
        <v>8</v>
      </c>
      <c r="B12" s="18" t="s">
        <v>169</v>
      </c>
      <c r="C12" s="19" t="s">
        <v>1066</v>
      </c>
      <c r="D12" s="18" t="s">
        <v>1067</v>
      </c>
    </row>
    <row r="13" customFormat="false" ht="15" hidden="false" customHeight="true" outlineLevel="0" collapsed="false">
      <c r="A13" s="65" t="n">
        <v>9</v>
      </c>
      <c r="B13" s="18" t="s">
        <v>42</v>
      </c>
      <c r="C13" s="19" t="s">
        <v>1068</v>
      </c>
      <c r="D13" s="18" t="s">
        <v>1069</v>
      </c>
    </row>
    <row r="14" customFormat="false" ht="27" hidden="false" customHeight="true" outlineLevel="0" collapsed="false">
      <c r="A14" s="65" t="n">
        <v>10</v>
      </c>
      <c r="B14" s="19" t="s">
        <v>1070</v>
      </c>
      <c r="C14" s="19" t="s">
        <v>1071</v>
      </c>
      <c r="D14" s="19" t="s">
        <v>1072</v>
      </c>
    </row>
    <row r="15" customFormat="false" ht="15" hidden="false" customHeight="true" outlineLevel="0" collapsed="false">
      <c r="A15" s="65" t="n">
        <v>11</v>
      </c>
      <c r="B15" s="18" t="s">
        <v>1073</v>
      </c>
      <c r="C15" s="19" t="s">
        <v>1074</v>
      </c>
      <c r="D15" s="18" t="s">
        <v>1075</v>
      </c>
    </row>
    <row r="16" customFormat="false" ht="15" hidden="false" customHeight="true" outlineLevel="0" collapsed="false">
      <c r="A16" s="65" t="n">
        <v>12</v>
      </c>
      <c r="B16" s="18" t="s">
        <v>1076</v>
      </c>
      <c r="C16" s="19" t="s">
        <v>1077</v>
      </c>
      <c r="D16" s="18" t="s">
        <v>1078</v>
      </c>
    </row>
    <row r="17" customFormat="false" ht="27" hidden="false" customHeight="true" outlineLevel="0" collapsed="false">
      <c r="A17" s="65" t="n">
        <v>13</v>
      </c>
      <c r="B17" s="18" t="s">
        <v>1079</v>
      </c>
      <c r="C17" s="19" t="s">
        <v>1080</v>
      </c>
      <c r="D17" s="18" t="s">
        <v>1081</v>
      </c>
    </row>
    <row r="18" customFormat="false" ht="15" hidden="false" customHeight="true" outlineLevel="0" collapsed="false">
      <c r="A18" s="65" t="n">
        <v>14</v>
      </c>
      <c r="B18" s="18" t="s">
        <v>1082</v>
      </c>
      <c r="C18" s="19" t="s">
        <v>1083</v>
      </c>
      <c r="D18" s="18" t="s">
        <v>1084</v>
      </c>
    </row>
    <row r="19" customFormat="false" ht="15" hidden="false" customHeight="true" outlineLevel="0" collapsed="false">
      <c r="A19" s="65" t="n">
        <v>15</v>
      </c>
      <c r="B19" s="18" t="s">
        <v>1085</v>
      </c>
      <c r="C19" s="19" t="s">
        <v>1086</v>
      </c>
      <c r="D19" s="18" t="s">
        <v>1087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" width="30.47"/>
    <col collapsed="false" customWidth="true" hidden="false" outlineLevel="0" max="2" min="2" style="1" width="19.59"/>
    <col collapsed="false" customWidth="true" hidden="false" outlineLevel="0" max="3" min="3" style="1" width="41.35"/>
    <col collapsed="false" customWidth="true" hidden="false" outlineLevel="0" max="4" min="4" style="1" width="54.41"/>
    <col collapsed="false" customWidth="true" hidden="false" outlineLevel="0" max="5" min="5" style="1" width="28.3"/>
  </cols>
  <sheetData>
    <row r="1" customFormat="false" ht="17.25" hidden="false" customHeight="true" outlineLevel="0" collapsed="false">
      <c r="A1" s="2" t="s">
        <v>1088</v>
      </c>
    </row>
    <row r="2" customFormat="false" ht="31.5" hidden="false" customHeight="true" outlineLevel="0" collapsed="false">
      <c r="A2" s="12" t="s">
        <v>1089</v>
      </c>
      <c r="B2" s="12"/>
      <c r="C2" s="12"/>
      <c r="D2" s="12"/>
      <c r="E2" s="12"/>
    </row>
    <row r="4" customFormat="false" ht="15" hidden="false" customHeight="true" outlineLevel="0" collapsed="false">
      <c r="A4" s="13" t="s">
        <v>1090</v>
      </c>
      <c r="B4" s="13" t="s">
        <v>1091</v>
      </c>
      <c r="C4" s="13" t="s">
        <v>1092</v>
      </c>
      <c r="D4" s="13" t="s">
        <v>1093</v>
      </c>
      <c r="E4" s="13" t="s">
        <v>1094</v>
      </c>
    </row>
    <row r="5" customFormat="false" ht="15" hidden="false" customHeight="true" outlineLevel="0" collapsed="false">
      <c r="A5" s="23" t="s">
        <v>1095</v>
      </c>
      <c r="B5" s="19" t="s">
        <v>1096</v>
      </c>
      <c r="C5" s="18" t="s">
        <v>1097</v>
      </c>
      <c r="D5" s="18" t="s">
        <v>1098</v>
      </c>
      <c r="E5" s="66" t="s">
        <v>1099</v>
      </c>
    </row>
    <row r="6" customFormat="false" ht="27.75" hidden="false" customHeight="true" outlineLevel="0" collapsed="false">
      <c r="A6" s="23" t="s">
        <v>1100</v>
      </c>
      <c r="B6" s="19" t="s">
        <v>1101</v>
      </c>
      <c r="C6" s="18" t="s">
        <v>1102</v>
      </c>
      <c r="D6" s="18" t="s">
        <v>1103</v>
      </c>
      <c r="E6" s="66" t="s">
        <v>1104</v>
      </c>
    </row>
    <row r="7" customFormat="false" ht="15" hidden="false" customHeight="true" outlineLevel="0" collapsed="false">
      <c r="A7" s="23" t="s">
        <v>1105</v>
      </c>
      <c r="B7" s="18" t="s">
        <v>1106</v>
      </c>
      <c r="C7" s="18" t="s">
        <v>1107</v>
      </c>
      <c r="D7" s="19" t="s">
        <v>1108</v>
      </c>
      <c r="E7" s="66" t="s">
        <v>1109</v>
      </c>
    </row>
    <row r="8" customFormat="false" ht="15" hidden="false" customHeight="true" outlineLevel="0" collapsed="false">
      <c r="A8" s="23" t="s">
        <v>1110</v>
      </c>
      <c r="B8" s="18" t="s">
        <v>1111</v>
      </c>
      <c r="C8" s="18" t="s">
        <v>1112</v>
      </c>
      <c r="D8" s="18" t="s">
        <v>1113</v>
      </c>
      <c r="E8" s="66" t="s">
        <v>429</v>
      </c>
    </row>
    <row r="9" customFormat="false" ht="15" hidden="false" customHeight="true" outlineLevel="0" collapsed="false">
      <c r="A9" s="23" t="s">
        <v>1114</v>
      </c>
      <c r="B9" s="18" t="s">
        <v>1115</v>
      </c>
      <c r="C9" s="18" t="s">
        <v>1116</v>
      </c>
      <c r="D9" s="18" t="s">
        <v>1117</v>
      </c>
      <c r="E9" s="66" t="s">
        <v>1118</v>
      </c>
    </row>
    <row r="10" customFormat="false" ht="27.75" hidden="false" customHeight="true" outlineLevel="0" collapsed="false">
      <c r="A10" s="23" t="s">
        <v>1119</v>
      </c>
      <c r="B10" s="18" t="s">
        <v>1120</v>
      </c>
      <c r="C10" s="19" t="s">
        <v>1121</v>
      </c>
      <c r="D10" s="19" t="s">
        <v>1122</v>
      </c>
      <c r="E10" s="66" t="s">
        <v>1123</v>
      </c>
    </row>
    <row r="11" customFormat="false" ht="15" hidden="false" customHeight="true" outlineLevel="0" collapsed="false">
      <c r="A11" s="23" t="s">
        <v>1124</v>
      </c>
      <c r="B11" s="18" t="s">
        <v>1125</v>
      </c>
      <c r="C11" s="18" t="s">
        <v>1126</v>
      </c>
      <c r="D11" s="18" t="s">
        <v>1127</v>
      </c>
      <c r="E11" s="66" t="s">
        <v>1128</v>
      </c>
    </row>
    <row r="12" customFormat="false" ht="15" hidden="false" customHeight="true" outlineLevel="0" collapsed="false">
      <c r="A12" s="23" t="s">
        <v>1129</v>
      </c>
      <c r="B12" s="18" t="s">
        <v>1125</v>
      </c>
      <c r="C12" s="18" t="s">
        <v>1130</v>
      </c>
      <c r="D12" s="18" t="s">
        <v>1131</v>
      </c>
      <c r="E12" s="22" t="s">
        <v>1132</v>
      </c>
    </row>
    <row r="13" customFormat="false" ht="15" hidden="false" customHeight="true" outlineLevel="0" collapsed="false">
      <c r="A13" s="23" t="s">
        <v>1133</v>
      </c>
      <c r="B13" s="18" t="s">
        <v>1134</v>
      </c>
      <c r="C13" s="18" t="s">
        <v>1135</v>
      </c>
      <c r="D13" s="19" t="s">
        <v>1136</v>
      </c>
      <c r="E13" s="66" t="s">
        <v>1137</v>
      </c>
    </row>
    <row r="14" customFormat="false" ht="15" hidden="false" customHeight="true" outlineLevel="0" collapsed="false">
      <c r="A14" s="23" t="s">
        <v>1138</v>
      </c>
      <c r="B14" s="18" t="s">
        <v>1139</v>
      </c>
      <c r="C14" s="18" t="s">
        <v>1140</v>
      </c>
      <c r="D14" s="19" t="s">
        <v>1141</v>
      </c>
      <c r="E14" s="22" t="s">
        <v>1142</v>
      </c>
    </row>
    <row r="15" customFormat="false" ht="15" hidden="false" customHeight="true" outlineLevel="0" collapsed="false">
      <c r="A15" s="23" t="s">
        <v>1143</v>
      </c>
      <c r="B15" s="19" t="s">
        <v>1144</v>
      </c>
      <c r="C15" s="18" t="s">
        <v>1145</v>
      </c>
      <c r="D15" s="19" t="s">
        <v>824</v>
      </c>
      <c r="E15" s="67" t="s">
        <v>1146</v>
      </c>
    </row>
    <row r="17" customFormat="false" ht="17.25" hidden="false" customHeight="true" outlineLevel="0" collapsed="false">
      <c r="A17" s="2" t="s">
        <v>1147</v>
      </c>
    </row>
    <row r="18" customFormat="false" ht="15" hidden="false" customHeight="true" outlineLevel="0" collapsed="false">
      <c r="A18" s="13" t="s">
        <v>1148</v>
      </c>
      <c r="B18" s="52" t="s">
        <v>1149</v>
      </c>
      <c r="C18" s="52" t="s">
        <v>471</v>
      </c>
      <c r="D18" s="52" t="s">
        <v>1150</v>
      </c>
      <c r="E18" s="13" t="s">
        <v>1151</v>
      </c>
    </row>
    <row r="19" customFormat="false" ht="15" hidden="false" customHeight="true" outlineLevel="0" collapsed="false">
      <c r="A19" s="18" t="s">
        <v>1152</v>
      </c>
      <c r="B19" s="18" t="s">
        <v>425</v>
      </c>
      <c r="C19" s="18" t="s">
        <v>425</v>
      </c>
      <c r="D19" s="18" t="s">
        <v>425</v>
      </c>
      <c r="E19" s="18" t="s">
        <v>1153</v>
      </c>
    </row>
    <row r="20" customFormat="false" ht="15" hidden="false" customHeight="true" outlineLevel="0" collapsed="false">
      <c r="A20" s="18" t="s">
        <v>1154</v>
      </c>
      <c r="B20" s="18" t="s">
        <v>425</v>
      </c>
      <c r="C20" s="18" t="s">
        <v>425</v>
      </c>
      <c r="D20" s="18" t="s">
        <v>425</v>
      </c>
      <c r="E20" s="18" t="s">
        <v>281</v>
      </c>
    </row>
    <row r="21" customFormat="false" ht="15" hidden="false" customHeight="true" outlineLevel="0" collapsed="false">
      <c r="A21" s="18" t="s">
        <v>1155</v>
      </c>
      <c r="B21" s="18" t="s">
        <v>429</v>
      </c>
      <c r="C21" s="18" t="s">
        <v>1156</v>
      </c>
      <c r="D21" s="18" t="s">
        <v>429</v>
      </c>
      <c r="E21" s="21" t="s">
        <v>1157</v>
      </c>
    </row>
    <row r="22" customFormat="false" ht="15" hidden="false" customHeight="true" outlineLevel="0" collapsed="false">
      <c r="A22" s="18" t="s">
        <v>1158</v>
      </c>
      <c r="B22" s="18" t="s">
        <v>429</v>
      </c>
      <c r="C22" s="18" t="s">
        <v>429</v>
      </c>
      <c r="D22" s="18" t="s">
        <v>429</v>
      </c>
      <c r="E22" s="21" t="s">
        <v>1159</v>
      </c>
    </row>
    <row r="23" customFormat="false" ht="26.25" hidden="false" customHeight="true" outlineLevel="0" collapsed="false">
      <c r="A23" s="18" t="s">
        <v>894</v>
      </c>
      <c r="B23" s="18" t="s">
        <v>429</v>
      </c>
      <c r="C23" s="18" t="s">
        <v>429</v>
      </c>
      <c r="D23" s="18" t="s">
        <v>429</v>
      </c>
      <c r="E23" s="21" t="s">
        <v>1160</v>
      </c>
    </row>
    <row r="24" customFormat="false" ht="26.25" hidden="false" customHeight="true" outlineLevel="0" collapsed="false">
      <c r="A24" s="18" t="s">
        <v>915</v>
      </c>
      <c r="B24" s="18" t="s">
        <v>429</v>
      </c>
      <c r="C24" s="18" t="s">
        <v>429</v>
      </c>
      <c r="D24" s="18" t="s">
        <v>429</v>
      </c>
      <c r="E24" s="21" t="s">
        <v>1161</v>
      </c>
    </row>
    <row r="25" customFormat="false" ht="17.25" hidden="false" customHeight="true" outlineLevel="0" collapsed="false">
      <c r="A25" s="2" t="s">
        <v>1162</v>
      </c>
    </row>
    <row r="26" customFormat="false" ht="15" hidden="false" customHeight="true" outlineLevel="0" collapsed="false">
      <c r="A26" s="18" t="s">
        <v>1163</v>
      </c>
      <c r="B26" s="18" t="n">
        <v>10100</v>
      </c>
    </row>
    <row r="27" customFormat="false" ht="26.25" hidden="false" customHeight="true" outlineLevel="0" collapsed="false">
      <c r="A27" s="13" t="s">
        <v>1164</v>
      </c>
      <c r="B27" s="13" t="s">
        <v>1165</v>
      </c>
      <c r="C27" s="13" t="s">
        <v>34</v>
      </c>
      <c r="D27" s="13" t="s">
        <v>1166</v>
      </c>
      <c r="E27" s="13" t="s">
        <v>1167</v>
      </c>
      <c r="F27" s="13" t="s">
        <v>1168</v>
      </c>
      <c r="G27" s="13" t="s">
        <v>1169</v>
      </c>
      <c r="H27" s="13" t="s">
        <v>1170</v>
      </c>
      <c r="I27" s="13" t="s">
        <v>1171</v>
      </c>
      <c r="J27" s="13" t="s">
        <v>1172</v>
      </c>
      <c r="K27" s="13" t="s">
        <v>1173</v>
      </c>
    </row>
    <row r="28" customFormat="false" ht="15" hidden="false" customHeight="true" outlineLevel="0" collapsed="false">
      <c r="A28" s="21" t="s">
        <v>1174</v>
      </c>
      <c r="B28" s="18" t="s">
        <v>1175</v>
      </c>
      <c r="C28" s="68" t="n">
        <v>20350</v>
      </c>
      <c r="D28" s="55" t="n">
        <v>0.069</v>
      </c>
      <c r="E28" s="69" t="n">
        <v>0.12</v>
      </c>
      <c r="F28" s="68" t="n">
        <v>13568</v>
      </c>
      <c r="G28" s="18" t="n">
        <v>85</v>
      </c>
      <c r="H28" s="53" t="n">
        <f aca="false">D28*$B$26</f>
        <v>696.9</v>
      </c>
      <c r="I28" s="68" t="n">
        <f aca="false">C28*(1-E28)-F28</f>
        <v>4340</v>
      </c>
      <c r="J28" s="53" t="n">
        <f aca="false">H28*I28/1000-G28</f>
        <v>2939.546</v>
      </c>
      <c r="K28" s="18"/>
    </row>
    <row r="29" customFormat="false" ht="15" hidden="false" customHeight="true" outlineLevel="0" collapsed="false">
      <c r="A29" s="21" t="s">
        <v>1174</v>
      </c>
      <c r="B29" s="21" t="s">
        <v>1176</v>
      </c>
      <c r="C29" s="68" t="n">
        <v>21000</v>
      </c>
      <c r="D29" s="55" t="n">
        <v>0.057</v>
      </c>
      <c r="E29" s="69" t="n">
        <v>0.12</v>
      </c>
      <c r="F29" s="68" t="n">
        <v>13568</v>
      </c>
      <c r="G29" s="18" t="n">
        <v>85</v>
      </c>
      <c r="H29" s="53" t="n">
        <f aca="false">D29*$B$26</f>
        <v>575.7</v>
      </c>
      <c r="I29" s="68" t="n">
        <f aca="false">C29*(1-E29)-F29</f>
        <v>4912</v>
      </c>
      <c r="J29" s="53" t="n">
        <f aca="false">H29*I29/1000-G29</f>
        <v>2742.8384</v>
      </c>
      <c r="K29" s="18"/>
    </row>
    <row r="30" customFormat="false" ht="15" hidden="false" customHeight="true" outlineLevel="0" collapsed="false">
      <c r="A30" s="21" t="s">
        <v>1174</v>
      </c>
      <c r="B30" s="21" t="s">
        <v>1177</v>
      </c>
      <c r="C30" s="68" t="n">
        <v>21800</v>
      </c>
      <c r="D30" s="55" t="n">
        <v>0.048</v>
      </c>
      <c r="E30" s="69" t="n">
        <v>0.12</v>
      </c>
      <c r="F30" s="68" t="n">
        <v>13568</v>
      </c>
      <c r="G30" s="18" t="n">
        <v>85</v>
      </c>
      <c r="H30" s="53" t="n">
        <f aca="false">D30*$B$26</f>
        <v>484.8</v>
      </c>
      <c r="I30" s="68" t="n">
        <f aca="false">C30*(1-E30)-F30</f>
        <v>5616</v>
      </c>
      <c r="J30" s="53" t="n">
        <f aca="false">H30*I30/1000-G30</f>
        <v>2637.6368</v>
      </c>
      <c r="K30" s="18"/>
    </row>
    <row r="31" customFormat="false" ht="15" hidden="false" customHeight="true" outlineLevel="0" collapsed="false">
      <c r="A31" s="21" t="s">
        <v>1174</v>
      </c>
      <c r="B31" s="21" t="s">
        <v>1178</v>
      </c>
      <c r="C31" s="68" t="n">
        <v>22385</v>
      </c>
      <c r="D31" s="55" t="n">
        <v>0.045</v>
      </c>
      <c r="E31" s="69" t="n">
        <v>0.12</v>
      </c>
      <c r="F31" s="68" t="n">
        <v>13568</v>
      </c>
      <c r="G31" s="18" t="n">
        <v>85</v>
      </c>
      <c r="H31" s="53" t="n">
        <f aca="false">D31*$B$26</f>
        <v>454.5</v>
      </c>
      <c r="I31" s="68" t="n">
        <f aca="false">C31*(1-E31)-F31</f>
        <v>6130.8</v>
      </c>
      <c r="J31" s="53" t="n">
        <f aca="false">H31*I31/1000-G31</f>
        <v>2701.4486</v>
      </c>
      <c r="K31" s="18"/>
    </row>
    <row r="32" customFormat="false" ht="15" hidden="false" customHeight="true" outlineLevel="0" collapsed="false">
      <c r="A32" s="21" t="s">
        <v>1174</v>
      </c>
      <c r="B32" s="21" t="s">
        <v>1179</v>
      </c>
      <c r="C32" s="68" t="n">
        <v>21800</v>
      </c>
      <c r="D32" s="55" t="n">
        <v>0.055</v>
      </c>
      <c r="E32" s="69" t="n">
        <v>0.12</v>
      </c>
      <c r="F32" s="68" t="n">
        <v>13568</v>
      </c>
      <c r="G32" s="18" t="n">
        <v>170</v>
      </c>
      <c r="H32" s="53" t="n">
        <f aca="false">D32*$B$26</f>
        <v>555.5</v>
      </c>
      <c r="I32" s="68" t="n">
        <f aca="false">C32*(1-E32)-F32</f>
        <v>5616</v>
      </c>
      <c r="J32" s="53" t="n">
        <f aca="false">H32*I32/1000-G32</f>
        <v>2949.688</v>
      </c>
      <c r="K32" s="18"/>
    </row>
    <row r="33" customFormat="false" ht="15" hidden="false" customHeight="true" outlineLevel="0" collapsed="false">
      <c r="A33" s="21" t="s">
        <v>1174</v>
      </c>
      <c r="B33" s="21" t="s">
        <v>1180</v>
      </c>
      <c r="C33" s="68" t="n">
        <v>22385</v>
      </c>
      <c r="D33" s="55" t="n">
        <v>0.053</v>
      </c>
      <c r="E33" s="69" t="n">
        <v>0.12</v>
      </c>
      <c r="F33" s="68" t="n">
        <v>13568</v>
      </c>
      <c r="G33" s="18" t="n">
        <v>170</v>
      </c>
      <c r="H33" s="53" t="n">
        <f aca="false">D33*$B$26</f>
        <v>535.3</v>
      </c>
      <c r="I33" s="68" t="n">
        <f aca="false">C33*(1-E33)-F33</f>
        <v>6130.8</v>
      </c>
      <c r="J33" s="53" t="n">
        <f aca="false">H33*I33/1000-G33</f>
        <v>3111.81724</v>
      </c>
      <c r="K33" s="18" t="s">
        <v>429</v>
      </c>
    </row>
    <row r="34" customFormat="false" ht="15" hidden="false" customHeight="true" outlineLevel="0" collapsed="false">
      <c r="A34" s="21" t="s">
        <v>1181</v>
      </c>
      <c r="B34" s="18" t="s">
        <v>1182</v>
      </c>
      <c r="C34" s="68" t="n">
        <v>20498</v>
      </c>
      <c r="D34" s="55" t="n">
        <v>0.044</v>
      </c>
      <c r="E34" s="69" t="n">
        <v>0.12</v>
      </c>
      <c r="F34" s="68" t="n">
        <v>12982</v>
      </c>
      <c r="G34" s="18" t="n">
        <v>35</v>
      </c>
      <c r="H34" s="53" t="n">
        <f aca="false">D34*$B$26</f>
        <v>444.4</v>
      </c>
      <c r="I34" s="68" t="n">
        <f aca="false">C34*(1-E34)-F34</f>
        <v>5056.24</v>
      </c>
      <c r="J34" s="53" t="n">
        <f aca="false">H34*I34/1000-G34</f>
        <v>2211.993056</v>
      </c>
      <c r="K34" s="18"/>
    </row>
    <row r="35" customFormat="false" ht="15" hidden="false" customHeight="true" outlineLevel="0" collapsed="false">
      <c r="A35" s="21" t="s">
        <v>1181</v>
      </c>
      <c r="B35" s="21" t="s">
        <v>1183</v>
      </c>
      <c r="C35" s="68" t="n">
        <v>21500</v>
      </c>
      <c r="D35" s="55" t="n">
        <v>0.038</v>
      </c>
      <c r="E35" s="69" t="n">
        <v>0.12</v>
      </c>
      <c r="F35" s="68" t="n">
        <v>12982</v>
      </c>
      <c r="G35" s="18" t="n">
        <v>35</v>
      </c>
      <c r="H35" s="53" t="n">
        <f aca="false">D35*$B$26</f>
        <v>383.8</v>
      </c>
      <c r="I35" s="68" t="n">
        <f aca="false">C35*(1-E35)-F35</f>
        <v>5938</v>
      </c>
      <c r="J35" s="53" t="n">
        <f aca="false">H35*I35/1000-G35</f>
        <v>2244.0044</v>
      </c>
      <c r="K35" s="18"/>
    </row>
    <row r="36" customFormat="false" ht="15" hidden="false" customHeight="true" outlineLevel="0" collapsed="false">
      <c r="A36" s="21" t="s">
        <v>1181</v>
      </c>
      <c r="B36" s="21" t="s">
        <v>1184</v>
      </c>
      <c r="C36" s="68" t="n">
        <v>22500</v>
      </c>
      <c r="D36" s="55" t="n">
        <v>0.036</v>
      </c>
      <c r="E36" s="69" t="n">
        <v>0.12</v>
      </c>
      <c r="F36" s="68" t="n">
        <v>12982</v>
      </c>
      <c r="G36" s="18" t="n">
        <v>35</v>
      </c>
      <c r="H36" s="53" t="n">
        <f aca="false">D36*$B$26</f>
        <v>363.6</v>
      </c>
      <c r="I36" s="68" t="n">
        <f aca="false">C36*(1-E36)-F36</f>
        <v>6818</v>
      </c>
      <c r="J36" s="53" t="n">
        <f aca="false">H36*I36/1000-G36</f>
        <v>2444.0248</v>
      </c>
      <c r="K36" s="18"/>
    </row>
    <row r="37" customFormat="false" ht="15" hidden="false" customHeight="true" outlineLevel="0" collapsed="false">
      <c r="A37" s="21" t="s">
        <v>1181</v>
      </c>
      <c r="B37" s="21" t="s">
        <v>1185</v>
      </c>
      <c r="C37" s="68" t="n">
        <v>22500</v>
      </c>
      <c r="D37" s="55" t="n">
        <v>0.041</v>
      </c>
      <c r="E37" s="69" t="n">
        <v>0.12</v>
      </c>
      <c r="F37" s="68" t="n">
        <v>12982</v>
      </c>
      <c r="G37" s="18" t="n">
        <v>70</v>
      </c>
      <c r="H37" s="53" t="n">
        <f aca="false">D37*$B$26</f>
        <v>414.1</v>
      </c>
      <c r="I37" s="68" t="n">
        <f aca="false">C37*(1-E37)-F37</f>
        <v>6818</v>
      </c>
      <c r="J37" s="53" t="n">
        <f aca="false">H37*I37/1000-G37</f>
        <v>2753.3338</v>
      </c>
      <c r="K37" s="18" t="s">
        <v>429</v>
      </c>
    </row>
    <row r="38" customFormat="false" ht="15" hidden="false" customHeight="true" outlineLevel="0" collapsed="false">
      <c r="A38" s="21" t="s">
        <v>1186</v>
      </c>
      <c r="B38" s="18" t="s">
        <v>1187</v>
      </c>
      <c r="C38" s="68" t="n">
        <v>11492</v>
      </c>
      <c r="D38" s="55" t="n">
        <v>0.03</v>
      </c>
      <c r="E38" s="69" t="n">
        <v>0.08</v>
      </c>
      <c r="F38" s="68" t="n">
        <v>9571</v>
      </c>
      <c r="G38" s="18" t="n">
        <v>45</v>
      </c>
      <c r="H38" s="53" t="n">
        <f aca="false">D38*$B$26</f>
        <v>303</v>
      </c>
      <c r="I38" s="68" t="n">
        <f aca="false">C38*(1-E38)-F38</f>
        <v>1001.64</v>
      </c>
      <c r="J38" s="53" t="n">
        <f aca="false">H38*I38/1000-G38</f>
        <v>258.49692</v>
      </c>
      <c r="K38" s="18"/>
    </row>
    <row r="39" customFormat="false" ht="15" hidden="false" customHeight="true" outlineLevel="0" collapsed="false">
      <c r="A39" s="21" t="s">
        <v>1186</v>
      </c>
      <c r="B39" s="21" t="s">
        <v>1188</v>
      </c>
      <c r="C39" s="68" t="n">
        <v>12200</v>
      </c>
      <c r="D39" s="55" t="n">
        <v>0.029</v>
      </c>
      <c r="E39" s="69" t="n">
        <v>0.08</v>
      </c>
      <c r="F39" s="68" t="n">
        <v>9571</v>
      </c>
      <c r="G39" s="18" t="n">
        <v>45</v>
      </c>
      <c r="H39" s="53" t="n">
        <f aca="false">D39*$B$26</f>
        <v>292.9</v>
      </c>
      <c r="I39" s="68" t="n">
        <f aca="false">C39*(1-E39)-F39</f>
        <v>1653</v>
      </c>
      <c r="J39" s="53" t="n">
        <f aca="false">H39*I39/1000-G39</f>
        <v>439.1637</v>
      </c>
      <c r="K39" s="18"/>
    </row>
    <row r="40" customFormat="false" ht="15" hidden="false" customHeight="true" outlineLevel="0" collapsed="false">
      <c r="A40" s="21" t="s">
        <v>1186</v>
      </c>
      <c r="B40" s="21" t="s">
        <v>1189</v>
      </c>
      <c r="C40" s="68" t="n">
        <v>12640</v>
      </c>
      <c r="D40" s="55" t="n">
        <v>0.029</v>
      </c>
      <c r="E40" s="69" t="n">
        <v>0.08</v>
      </c>
      <c r="F40" s="68" t="n">
        <v>9571</v>
      </c>
      <c r="G40" s="18" t="n">
        <v>45</v>
      </c>
      <c r="H40" s="53" t="n">
        <f aca="false">D40*$B$26</f>
        <v>292.9</v>
      </c>
      <c r="I40" s="68" t="n">
        <f aca="false">C40*(1-E40)-F40</f>
        <v>2057.8</v>
      </c>
      <c r="J40" s="53" t="n">
        <f aca="false">H40*I40/1000-G40</f>
        <v>557.72962</v>
      </c>
      <c r="K40" s="18" t="s">
        <v>429</v>
      </c>
    </row>
    <row r="42" customFormat="false" ht="15" hidden="false" customHeight="true" outlineLevel="0" collapsed="false">
      <c r="A42" s="18" t="s">
        <v>1190</v>
      </c>
      <c r="B42" s="70" t="s">
        <v>1191</v>
      </c>
      <c r="C42" s="70"/>
      <c r="D42" s="70"/>
      <c r="E42" s="70"/>
      <c r="F42" s="70"/>
      <c r="G42" s="70"/>
      <c r="H42" s="70"/>
      <c r="I42" s="70"/>
      <c r="J42" s="70"/>
      <c r="K42" s="70"/>
    </row>
    <row r="44" customFormat="false" ht="17.25" hidden="false" customHeight="true" outlineLevel="0" collapsed="false">
      <c r="A44" s="2" t="s">
        <v>1192</v>
      </c>
    </row>
    <row r="45" customFormat="false" ht="15" hidden="false" customHeight="true" outlineLevel="0" collapsed="false">
      <c r="A45" s="18" t="s">
        <v>1163</v>
      </c>
      <c r="B45" s="18" t="n">
        <v>10500</v>
      </c>
    </row>
    <row r="46" customFormat="false" ht="26.25" hidden="false" customHeight="true" outlineLevel="0" collapsed="false">
      <c r="A46" s="13" t="s">
        <v>1164</v>
      </c>
      <c r="B46" s="13" t="s">
        <v>1165</v>
      </c>
      <c r="C46" s="13" t="s">
        <v>34</v>
      </c>
      <c r="D46" s="13" t="s">
        <v>1166</v>
      </c>
      <c r="E46" s="13" t="s">
        <v>1167</v>
      </c>
      <c r="F46" s="13" t="s">
        <v>1168</v>
      </c>
      <c r="G46" s="13" t="s">
        <v>1169</v>
      </c>
      <c r="H46" s="13" t="s">
        <v>1170</v>
      </c>
      <c r="I46" s="13" t="s">
        <v>1171</v>
      </c>
      <c r="J46" s="13" t="s">
        <v>1172</v>
      </c>
      <c r="K46" s="13" t="s">
        <v>1173</v>
      </c>
    </row>
    <row r="47" customFormat="false" ht="15" hidden="false" customHeight="true" outlineLevel="0" collapsed="false">
      <c r="A47" s="21" t="s">
        <v>1174</v>
      </c>
      <c r="B47" s="21" t="s">
        <v>1193</v>
      </c>
      <c r="C47" s="68" t="n">
        <v>23000</v>
      </c>
      <c r="D47" s="55" t="n">
        <v>0.069</v>
      </c>
      <c r="E47" s="69" t="n">
        <v>0.12</v>
      </c>
      <c r="F47" s="68" t="n">
        <v>14885</v>
      </c>
      <c r="G47" s="18" t="n">
        <v>170</v>
      </c>
      <c r="H47" s="53" t="n">
        <f aca="false">D47*$B$45</f>
        <v>724.5</v>
      </c>
      <c r="I47" s="68" t="n">
        <f aca="false">C47*(1-E47)-F47</f>
        <v>5355</v>
      </c>
      <c r="J47" s="53" t="n">
        <f aca="false">H47*I47/1000-G47</f>
        <v>3709.6975</v>
      </c>
      <c r="K47" s="18"/>
    </row>
    <row r="48" customFormat="false" ht="15" hidden="false" customHeight="true" outlineLevel="0" collapsed="false">
      <c r="A48" s="21" t="s">
        <v>1174</v>
      </c>
      <c r="B48" s="21" t="s">
        <v>1194</v>
      </c>
      <c r="C48" s="68" t="n">
        <v>23500</v>
      </c>
      <c r="D48" s="55" t="n">
        <v>0.0705</v>
      </c>
      <c r="E48" s="69" t="n">
        <v>0.12</v>
      </c>
      <c r="F48" s="68" t="n">
        <v>14885</v>
      </c>
      <c r="G48" s="18" t="n">
        <v>340</v>
      </c>
      <c r="H48" s="53" t="n">
        <f aca="false">D48*$B$45</f>
        <v>740.25</v>
      </c>
      <c r="I48" s="68" t="n">
        <f aca="false">C48*(1-E48)-F48</f>
        <v>5795</v>
      </c>
      <c r="J48" s="53" t="n">
        <f aca="false">H48*I48/1000-G48</f>
        <v>3949.74875</v>
      </c>
      <c r="K48" s="18"/>
    </row>
    <row r="49" customFormat="false" ht="15" hidden="false" customHeight="true" outlineLevel="0" collapsed="false">
      <c r="A49" s="21" t="s">
        <v>1174</v>
      </c>
      <c r="B49" s="21" t="s">
        <v>1195</v>
      </c>
      <c r="C49" s="68" t="n">
        <v>24000</v>
      </c>
      <c r="D49" s="55" t="n">
        <v>0.064</v>
      </c>
      <c r="E49" s="69" t="n">
        <v>0.12</v>
      </c>
      <c r="F49" s="68" t="n">
        <v>14885</v>
      </c>
      <c r="G49" s="18" t="n">
        <v>170</v>
      </c>
      <c r="H49" s="53" t="n">
        <f aca="false">D49*$B$45</f>
        <v>672</v>
      </c>
      <c r="I49" s="68" t="n">
        <f aca="false">C49*(1-E49)-F49</f>
        <v>6235</v>
      </c>
      <c r="J49" s="53" t="n">
        <f aca="false">H49*I49/1000-G49</f>
        <v>4019.92</v>
      </c>
      <c r="K49" s="18"/>
    </row>
    <row r="50" customFormat="false" ht="15" hidden="false" customHeight="true" outlineLevel="0" collapsed="false">
      <c r="A50" s="21" t="s">
        <v>1174</v>
      </c>
      <c r="B50" s="21" t="s">
        <v>1196</v>
      </c>
      <c r="C50" s="68" t="n">
        <v>24000</v>
      </c>
      <c r="D50" s="55" t="n">
        <v>0.068</v>
      </c>
      <c r="E50" s="69" t="n">
        <v>0.12</v>
      </c>
      <c r="F50" s="68" t="n">
        <v>14885</v>
      </c>
      <c r="G50" s="18" t="n">
        <v>340</v>
      </c>
      <c r="H50" s="53" t="n">
        <f aca="false">D50*$B$45</f>
        <v>714</v>
      </c>
      <c r="I50" s="68" t="n">
        <f aca="false">C50*(1-E50)-F50</f>
        <v>6235</v>
      </c>
      <c r="J50" s="53" t="n">
        <f aca="false">H50*I50/1000-G50</f>
        <v>4111.79</v>
      </c>
      <c r="K50" s="18" t="s">
        <v>429</v>
      </c>
    </row>
    <row r="51" customFormat="false" ht="15" hidden="false" customHeight="true" outlineLevel="0" collapsed="false">
      <c r="A51" s="21" t="s">
        <v>1174</v>
      </c>
      <c r="B51" s="21" t="s">
        <v>1197</v>
      </c>
      <c r="C51" s="68" t="n">
        <v>24600</v>
      </c>
      <c r="D51" s="55" t="n">
        <v>0.061</v>
      </c>
      <c r="E51" s="69" t="n">
        <v>0.12</v>
      </c>
      <c r="F51" s="68" t="n">
        <v>14885</v>
      </c>
      <c r="G51" s="18" t="n">
        <v>170</v>
      </c>
      <c r="H51" s="53" t="n">
        <f aca="false">D51*$B$45</f>
        <v>640.5</v>
      </c>
      <c r="I51" s="68" t="n">
        <f aca="false">C51*(1-E51)-F51</f>
        <v>6763</v>
      </c>
      <c r="J51" s="53" t="n">
        <f aca="false">H51*I51/1000-G51</f>
        <v>4161.7015</v>
      </c>
      <c r="K51" s="18"/>
    </row>
    <row r="52" customFormat="false" ht="15" hidden="false" customHeight="true" outlineLevel="0" collapsed="false">
      <c r="A52" s="21" t="s">
        <v>1181</v>
      </c>
      <c r="B52" s="21" t="s">
        <v>1198</v>
      </c>
      <c r="C52" s="68" t="n">
        <v>23500</v>
      </c>
      <c r="D52" s="55" t="n">
        <v>0.046</v>
      </c>
      <c r="E52" s="69" t="n">
        <v>0.12</v>
      </c>
      <c r="F52" s="68" t="n">
        <v>13200</v>
      </c>
      <c r="G52" s="18" t="n">
        <v>70</v>
      </c>
      <c r="H52" s="53" t="n">
        <f aca="false">D52*$B$45</f>
        <v>483</v>
      </c>
      <c r="I52" s="68" t="n">
        <f aca="false">C52*(1-E52)-F52</f>
        <v>7480</v>
      </c>
      <c r="J52" s="53" t="n">
        <f aca="false">H52*I52/1000-G52</f>
        <v>3542.84</v>
      </c>
      <c r="K52" s="18"/>
    </row>
    <row r="53" customFormat="false" ht="15" hidden="false" customHeight="true" outlineLevel="0" collapsed="false">
      <c r="A53" s="21" t="s">
        <v>1181</v>
      </c>
      <c r="B53" s="21" t="s">
        <v>1199</v>
      </c>
      <c r="C53" s="68" t="n">
        <v>24000</v>
      </c>
      <c r="D53" s="55" t="n">
        <v>0.049</v>
      </c>
      <c r="E53" s="69" t="n">
        <v>0.12</v>
      </c>
      <c r="F53" s="68" t="n">
        <v>13200</v>
      </c>
      <c r="G53" s="18" t="n">
        <v>140</v>
      </c>
      <c r="H53" s="53" t="n">
        <f aca="false">D53*$B$45</f>
        <v>514.5</v>
      </c>
      <c r="I53" s="68" t="n">
        <f aca="false">C53*(1-E53)-F53</f>
        <v>7920</v>
      </c>
      <c r="J53" s="53" t="n">
        <f aca="false">H53*I53/1000-G53</f>
        <v>3934.84</v>
      </c>
      <c r="K53" s="18" t="s">
        <v>429</v>
      </c>
    </row>
    <row r="54" customFormat="false" ht="15" hidden="false" customHeight="true" outlineLevel="0" collapsed="false">
      <c r="A54" s="21" t="s">
        <v>1181</v>
      </c>
      <c r="B54" s="21" t="s">
        <v>1200</v>
      </c>
      <c r="C54" s="68" t="n">
        <v>24500</v>
      </c>
      <c r="D54" s="55" t="n">
        <v>0.047</v>
      </c>
      <c r="E54" s="69" t="n">
        <v>0.12</v>
      </c>
      <c r="F54" s="68" t="n">
        <v>13200</v>
      </c>
      <c r="G54" s="18" t="n">
        <v>140</v>
      </c>
      <c r="H54" s="53" t="n">
        <f aca="false">D54*$B$45</f>
        <v>493.5</v>
      </c>
      <c r="I54" s="68" t="n">
        <f aca="false">C54*(1-E54)-F54</f>
        <v>8360</v>
      </c>
      <c r="J54" s="53" t="n">
        <f aca="false">H54*I54/1000-G54</f>
        <v>3985.66</v>
      </c>
      <c r="K54" s="18"/>
    </row>
    <row r="55" customFormat="false" ht="15" hidden="false" customHeight="true" outlineLevel="0" collapsed="false">
      <c r="A55" s="21" t="s">
        <v>1181</v>
      </c>
      <c r="B55" s="21" t="s">
        <v>1201</v>
      </c>
      <c r="C55" s="68" t="n">
        <v>24500</v>
      </c>
      <c r="D55" s="55" t="n">
        <v>0.042</v>
      </c>
      <c r="E55" s="69" t="n">
        <v>0.12</v>
      </c>
      <c r="F55" s="68" t="n">
        <v>13200</v>
      </c>
      <c r="G55" s="18" t="n">
        <v>70</v>
      </c>
      <c r="H55" s="53" t="n">
        <f aca="false">D55*$B$45</f>
        <v>441</v>
      </c>
      <c r="I55" s="68" t="n">
        <f aca="false">C55*(1-E55)-F55</f>
        <v>8360</v>
      </c>
      <c r="J55" s="53" t="n">
        <f aca="false">H55*I55/1000-G55</f>
        <v>3616.76</v>
      </c>
      <c r="K55" s="18"/>
    </row>
    <row r="56" customFormat="false" ht="15" hidden="false" customHeight="true" outlineLevel="0" collapsed="false">
      <c r="A56" s="21" t="s">
        <v>1186</v>
      </c>
      <c r="B56" s="21" t="s">
        <v>1202</v>
      </c>
      <c r="C56" s="68" t="n">
        <v>13400</v>
      </c>
      <c r="D56" s="55" t="n">
        <v>0.033</v>
      </c>
      <c r="E56" s="69" t="n">
        <v>0.08</v>
      </c>
      <c r="F56" s="68" t="n">
        <v>9628</v>
      </c>
      <c r="G56" s="18" t="n">
        <v>45</v>
      </c>
      <c r="H56" s="53" t="n">
        <f aca="false">D56*$B$45</f>
        <v>346.5</v>
      </c>
      <c r="I56" s="68" t="n">
        <f aca="false">C56*(1-E56)-F56</f>
        <v>2700</v>
      </c>
      <c r="J56" s="53" t="n">
        <f aca="false">H56*I56/1000-G56</f>
        <v>890.55</v>
      </c>
      <c r="K56" s="18"/>
    </row>
    <row r="57" customFormat="false" ht="15" hidden="false" customHeight="true" outlineLevel="0" collapsed="false">
      <c r="A57" s="21" t="s">
        <v>1186</v>
      </c>
      <c r="B57" s="21" t="s">
        <v>1203</v>
      </c>
      <c r="C57" s="68" t="n">
        <v>13900</v>
      </c>
      <c r="D57" s="55" t="n">
        <v>0.033</v>
      </c>
      <c r="E57" s="69" t="n">
        <v>0.08</v>
      </c>
      <c r="F57" s="68" t="n">
        <v>9628</v>
      </c>
      <c r="G57" s="18" t="n">
        <v>45</v>
      </c>
      <c r="H57" s="53" t="n">
        <f aca="false">D57*$B$45</f>
        <v>346.5</v>
      </c>
      <c r="I57" s="68" t="n">
        <f aca="false">C57*(1-E57)-F57</f>
        <v>3160</v>
      </c>
      <c r="J57" s="53" t="n">
        <f aca="false">H57*I57/1000-G57</f>
        <v>1049.94</v>
      </c>
      <c r="K57" s="18" t="s">
        <v>429</v>
      </c>
    </row>
    <row r="59" customFormat="false" ht="15" hidden="false" customHeight="true" outlineLevel="0" collapsed="false">
      <c r="A59" s="18" t="s">
        <v>1190</v>
      </c>
      <c r="B59" s="70" t="s">
        <v>1204</v>
      </c>
      <c r="C59" s="70"/>
      <c r="D59" s="70"/>
      <c r="E59" s="70"/>
      <c r="F59" s="70"/>
      <c r="G59" s="70"/>
      <c r="H59" s="70"/>
      <c r="I59" s="70"/>
      <c r="J59" s="70"/>
      <c r="K59" s="70"/>
    </row>
    <row r="61" customFormat="false" ht="17.25" hidden="false" customHeight="true" outlineLevel="0" collapsed="false">
      <c r="A61" s="2" t="s">
        <v>1205</v>
      </c>
    </row>
    <row r="62" customFormat="false" ht="15" hidden="false" customHeight="true" outlineLevel="0" collapsed="false">
      <c r="A62" s="13" t="s">
        <v>1164</v>
      </c>
      <c r="B62" s="13" t="s">
        <v>1206</v>
      </c>
      <c r="C62" s="13" t="s">
        <v>1207</v>
      </c>
      <c r="D62" s="13" t="s">
        <v>36</v>
      </c>
      <c r="E62" s="13" t="s">
        <v>1208</v>
      </c>
    </row>
    <row r="63" customFormat="false" ht="15" hidden="false" customHeight="true" outlineLevel="0" collapsed="false">
      <c r="A63" s="21" t="s">
        <v>1174</v>
      </c>
      <c r="B63" s="21" t="s">
        <v>1209</v>
      </c>
      <c r="C63" s="21" t="s">
        <v>1210</v>
      </c>
      <c r="D63" s="18" t="s">
        <v>1211</v>
      </c>
      <c r="E63" s="18" t="s">
        <v>1212</v>
      </c>
    </row>
    <row r="64" customFormat="false" ht="26.25" hidden="false" customHeight="true" outlineLevel="0" collapsed="false">
      <c r="A64" s="21" t="s">
        <v>1213</v>
      </c>
      <c r="B64" s="21" t="s">
        <v>1214</v>
      </c>
      <c r="C64" s="21" t="s">
        <v>1215</v>
      </c>
      <c r="D64" s="21" t="s">
        <v>1216</v>
      </c>
      <c r="E64" s="18" t="s">
        <v>1217</v>
      </c>
    </row>
    <row r="65" customFormat="false" ht="26.25" hidden="false" customHeight="true" outlineLevel="0" collapsed="false">
      <c r="A65" s="21" t="s">
        <v>1181</v>
      </c>
      <c r="B65" s="21" t="s">
        <v>1218</v>
      </c>
      <c r="C65" s="21" t="s">
        <v>1210</v>
      </c>
      <c r="D65" s="18" t="s">
        <v>1219</v>
      </c>
      <c r="E65" s="21" t="s">
        <v>1220</v>
      </c>
    </row>
    <row r="66" customFormat="false" ht="15" hidden="false" customHeight="true" outlineLevel="0" collapsed="false">
      <c r="A66" s="21" t="s">
        <v>1186</v>
      </c>
      <c r="B66" s="21" t="s">
        <v>1221</v>
      </c>
      <c r="C66" s="21" t="s">
        <v>1210</v>
      </c>
      <c r="D66" s="18" t="s">
        <v>1222</v>
      </c>
      <c r="E66" s="18" t="s">
        <v>1223</v>
      </c>
    </row>
    <row r="68" customFormat="false" ht="17.25" hidden="false" customHeight="true" outlineLevel="0" collapsed="false">
      <c r="A68" s="2" t="s">
        <v>1224</v>
      </c>
    </row>
    <row r="69" customFormat="false" ht="28.5" hidden="false" customHeight="true" outlineLevel="0" collapsed="false">
      <c r="A69" s="13" t="s">
        <v>1164</v>
      </c>
      <c r="B69" s="13" t="s">
        <v>1206</v>
      </c>
      <c r="C69" s="13" t="s">
        <v>1207</v>
      </c>
      <c r="D69" s="13" t="s">
        <v>36</v>
      </c>
      <c r="E69" s="13" t="s">
        <v>1208</v>
      </c>
    </row>
    <row r="70" customFormat="false" ht="42" hidden="false" customHeight="true" outlineLevel="0" collapsed="false">
      <c r="A70" s="21" t="s">
        <v>1174</v>
      </c>
      <c r="B70" s="21" t="s">
        <v>1225</v>
      </c>
      <c r="C70" s="21" t="s">
        <v>1210</v>
      </c>
      <c r="D70" s="21" t="s">
        <v>1226</v>
      </c>
      <c r="E70" s="18" t="s">
        <v>1227</v>
      </c>
    </row>
    <row r="71" customFormat="false" ht="15" hidden="false" customHeight="true" outlineLevel="0" collapsed="false">
      <c r="A71" s="21" t="s">
        <v>1181</v>
      </c>
      <c r="B71" s="21" t="s">
        <v>1228</v>
      </c>
      <c r="C71" s="21" t="s">
        <v>1210</v>
      </c>
      <c r="D71" s="21" t="s">
        <v>1229</v>
      </c>
      <c r="E71" s="18" t="s">
        <v>1230</v>
      </c>
    </row>
    <row r="72" customFormat="false" ht="42" hidden="false" customHeight="true" outlineLevel="0" collapsed="false">
      <c r="A72" s="21" t="s">
        <v>1213</v>
      </c>
      <c r="B72" s="21" t="s">
        <v>1231</v>
      </c>
      <c r="C72" s="21" t="s">
        <v>1210</v>
      </c>
      <c r="D72" s="21" t="s">
        <v>1232</v>
      </c>
      <c r="E72" s="18" t="s">
        <v>1233</v>
      </c>
    </row>
    <row r="73" customFormat="false" ht="42" hidden="false" customHeight="true" outlineLevel="0" collapsed="false">
      <c r="A73" s="21" t="s">
        <v>1234</v>
      </c>
      <c r="B73" s="21" t="s">
        <v>1235</v>
      </c>
      <c r="C73" s="21" t="s">
        <v>1236</v>
      </c>
      <c r="D73" s="21" t="s">
        <v>1237</v>
      </c>
      <c r="E73" s="18" t="s">
        <v>1238</v>
      </c>
    </row>
    <row r="74" customFormat="false" ht="28.5" hidden="false" customHeight="true" outlineLevel="0" collapsed="false">
      <c r="A74" s="21" t="s">
        <v>1239</v>
      </c>
      <c r="B74" s="21" t="s">
        <v>1240</v>
      </c>
      <c r="C74" s="21" t="s">
        <v>1236</v>
      </c>
      <c r="D74" s="21" t="s">
        <v>1241</v>
      </c>
      <c r="E74" s="18" t="s">
        <v>1242</v>
      </c>
    </row>
    <row r="75" customFormat="false" ht="15" hidden="false" customHeight="true" outlineLevel="0" collapsed="false">
      <c r="A75" s="21" t="s">
        <v>1243</v>
      </c>
      <c r="B75" s="18" t="s">
        <v>124</v>
      </c>
      <c r="C75" s="21" t="s">
        <v>1244</v>
      </c>
      <c r="D75" s="21" t="s">
        <v>1245</v>
      </c>
      <c r="E75" s="21" t="s">
        <v>1246</v>
      </c>
    </row>
    <row r="76" customFormat="false" ht="28.5" hidden="false" customHeight="true" outlineLevel="0" collapsed="false">
      <c r="A76" s="21" t="s">
        <v>1247</v>
      </c>
      <c r="B76" s="18" t="s">
        <v>124</v>
      </c>
      <c r="C76" s="21" t="s">
        <v>1244</v>
      </c>
      <c r="D76" s="21" t="s">
        <v>1248</v>
      </c>
      <c r="E76" s="21" t="s">
        <v>1249</v>
      </c>
    </row>
    <row r="77" customFormat="false" ht="28.5" hidden="false" customHeight="true" outlineLevel="0" collapsed="false">
      <c r="A77" s="18" t="s">
        <v>470</v>
      </c>
      <c r="B77" s="18" t="s">
        <v>124</v>
      </c>
      <c r="C77" s="21" t="s">
        <v>471</v>
      </c>
      <c r="D77" s="18" t="s">
        <v>1250</v>
      </c>
      <c r="E77" s="18" t="s">
        <v>1251</v>
      </c>
    </row>
    <row r="78" customFormat="false" ht="28.5" hidden="false" customHeight="true" outlineLevel="0" collapsed="false">
      <c r="A78" s="18" t="s">
        <v>1252</v>
      </c>
      <c r="B78" s="18" t="s">
        <v>124</v>
      </c>
      <c r="C78" s="18" t="s">
        <v>1253</v>
      </c>
      <c r="D78" s="21" t="s">
        <v>1254</v>
      </c>
      <c r="E78" s="21" t="s">
        <v>1255</v>
      </c>
    </row>
    <row r="79" customFormat="false" ht="28.5" hidden="false" customHeight="true" outlineLevel="0" collapsed="false">
      <c r="A79" s="18" t="s">
        <v>1256</v>
      </c>
      <c r="B79" s="21" t="s">
        <v>1257</v>
      </c>
      <c r="C79" s="21" t="s">
        <v>1258</v>
      </c>
      <c r="D79" s="21" t="s">
        <v>1259</v>
      </c>
      <c r="E79" s="18" t="s">
        <v>1260</v>
      </c>
    </row>
    <row r="80" customFormat="false" ht="28.5" hidden="false" customHeight="true" outlineLevel="0" collapsed="false">
      <c r="A80" s="21" t="s">
        <v>1261</v>
      </c>
      <c r="B80" s="21" t="s">
        <v>1262</v>
      </c>
      <c r="C80" s="21" t="s">
        <v>1263</v>
      </c>
      <c r="D80" s="21" t="s">
        <v>1264</v>
      </c>
      <c r="E80" s="18" t="s">
        <v>1265</v>
      </c>
    </row>
    <row r="82" customFormat="false" ht="17.25" hidden="false" customHeight="true" outlineLevel="0" collapsed="false">
      <c r="A82" s="2" t="s">
        <v>1266</v>
      </c>
    </row>
    <row r="83" customFormat="false" ht="15" hidden="false" customHeight="true" outlineLevel="0" collapsed="false">
      <c r="A83" s="13" t="s">
        <v>1164</v>
      </c>
      <c r="B83" s="13" t="s">
        <v>1206</v>
      </c>
      <c r="C83" s="13" t="s">
        <v>1207</v>
      </c>
      <c r="D83" s="13" t="s">
        <v>36</v>
      </c>
      <c r="E83" s="13" t="s">
        <v>1208</v>
      </c>
    </row>
    <row r="84" customFormat="false" ht="42" hidden="false" customHeight="true" outlineLevel="0" collapsed="false">
      <c r="A84" s="21" t="s">
        <v>1174</v>
      </c>
      <c r="B84" s="21" t="s">
        <v>1267</v>
      </c>
      <c r="C84" s="21" t="s">
        <v>1268</v>
      </c>
      <c r="D84" s="21" t="s">
        <v>1269</v>
      </c>
      <c r="E84" s="21" t="s">
        <v>1270</v>
      </c>
    </row>
    <row r="85" customFormat="false" ht="42" hidden="false" customHeight="true" outlineLevel="0" collapsed="false">
      <c r="A85" s="21" t="s">
        <v>1186</v>
      </c>
      <c r="B85" s="21" t="s">
        <v>1271</v>
      </c>
      <c r="C85" s="21" t="s">
        <v>1210</v>
      </c>
      <c r="D85" s="21" t="s">
        <v>1272</v>
      </c>
      <c r="E85" s="18" t="s">
        <v>1273</v>
      </c>
    </row>
    <row r="86" customFormat="false" ht="42" hidden="false" customHeight="true" outlineLevel="0" collapsed="false">
      <c r="A86" s="21" t="s">
        <v>1213</v>
      </c>
      <c r="B86" s="21" t="s">
        <v>1274</v>
      </c>
      <c r="C86" s="21" t="s">
        <v>1210</v>
      </c>
      <c r="D86" s="21" t="s">
        <v>1275</v>
      </c>
      <c r="E86" s="18" t="s">
        <v>1276</v>
      </c>
    </row>
    <row r="87" customFormat="false" ht="42" hidden="false" customHeight="true" outlineLevel="0" collapsed="false">
      <c r="A87" s="21" t="s">
        <v>1234</v>
      </c>
      <c r="B87" s="21" t="s">
        <v>1277</v>
      </c>
      <c r="C87" s="21" t="s">
        <v>1210</v>
      </c>
      <c r="D87" s="21" t="s">
        <v>1278</v>
      </c>
      <c r="E87" s="21" t="s">
        <v>1279</v>
      </c>
    </row>
    <row r="88" customFormat="false" ht="42" hidden="false" customHeight="true" outlineLevel="0" collapsed="false">
      <c r="A88" s="21" t="s">
        <v>1181</v>
      </c>
      <c r="B88" s="21" t="s">
        <v>1228</v>
      </c>
      <c r="C88" s="21" t="s">
        <v>452</v>
      </c>
      <c r="D88" s="21" t="s">
        <v>1280</v>
      </c>
      <c r="E88" s="18" t="s">
        <v>1281</v>
      </c>
    </row>
    <row r="89" customFormat="false" ht="42" hidden="false" customHeight="true" outlineLevel="0" collapsed="false">
      <c r="A89" s="21" t="s">
        <v>1282</v>
      </c>
      <c r="B89" s="18" t="s">
        <v>124</v>
      </c>
      <c r="C89" s="21" t="s">
        <v>1244</v>
      </c>
      <c r="D89" s="21" t="s">
        <v>1283</v>
      </c>
      <c r="E89" s="18" t="s">
        <v>1284</v>
      </c>
    </row>
    <row r="90" customFormat="false" ht="42" hidden="false" customHeight="true" outlineLevel="0" collapsed="false">
      <c r="A90" s="18" t="s">
        <v>470</v>
      </c>
      <c r="B90" s="18" t="s">
        <v>124</v>
      </c>
      <c r="C90" s="21" t="s">
        <v>471</v>
      </c>
      <c r="D90" s="21" t="s">
        <v>1285</v>
      </c>
      <c r="E90" s="18" t="s">
        <v>1286</v>
      </c>
    </row>
  </sheetData>
  <mergeCells count="3">
    <mergeCell ref="A2:E2"/>
    <mergeCell ref="B42:K42"/>
    <mergeCell ref="B59:K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selection pane="top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6"/>
  </cols>
  <sheetData>
    <row r="1" customFormat="false" ht="17.25" hidden="false" customHeight="true" outlineLevel="0" collapsed="false">
      <c r="A1" s="11" t="s">
        <v>1287</v>
      </c>
    </row>
    <row r="2" customFormat="false" ht="15" hidden="false" customHeight="true" outlineLevel="0" collapsed="false">
      <c r="A2" s="71" t="s">
        <v>1288</v>
      </c>
    </row>
    <row r="4" customFormat="false" ht="26.25" hidden="false" customHeight="true" outlineLevel="0" collapsed="false">
      <c r="A4" s="4" t="s">
        <v>1289</v>
      </c>
      <c r="B4" s="4" t="s">
        <v>1290</v>
      </c>
      <c r="C4" s="4" t="s">
        <v>1291</v>
      </c>
      <c r="D4" s="5" t="s">
        <v>1292</v>
      </c>
      <c r="E4" s="5" t="s">
        <v>1293</v>
      </c>
      <c r="F4" s="4" t="s">
        <v>1294</v>
      </c>
      <c r="G4" s="4" t="s">
        <v>1295</v>
      </c>
      <c r="H4" s="4" t="s">
        <v>1190</v>
      </c>
    </row>
    <row r="5" customFormat="false" ht="15" hidden="false" customHeight="true" outlineLevel="0" collapsed="false">
      <c r="A5" s="6" t="s">
        <v>1296</v>
      </c>
      <c r="B5" s="7" t="s">
        <v>1297</v>
      </c>
      <c r="C5" s="72" t="n">
        <v>38000</v>
      </c>
      <c r="D5" s="73" t="n">
        <v>0.67</v>
      </c>
      <c r="E5" s="74" t="n">
        <v>24854</v>
      </c>
      <c r="F5" s="75" t="n">
        <f aca="false">C5*0.9-E5</f>
        <v>9346</v>
      </c>
      <c r="G5" s="7" t="s">
        <v>1298</v>
      </c>
      <c r="H5" s="76" t="s">
        <v>1299</v>
      </c>
    </row>
    <row r="6" customFormat="false" ht="15" hidden="false" customHeight="true" outlineLevel="0" collapsed="false">
      <c r="A6" s="6" t="s">
        <v>1300</v>
      </c>
      <c r="B6" s="7" t="s">
        <v>1301</v>
      </c>
      <c r="C6" s="72" t="n">
        <v>45000</v>
      </c>
      <c r="D6" s="73" t="n">
        <v>0.751</v>
      </c>
      <c r="E6" s="74" t="n">
        <v>33337</v>
      </c>
      <c r="F6" s="75" t="n">
        <f aca="false">C6*0.9-E6</f>
        <v>7163</v>
      </c>
      <c r="G6" s="7" t="s">
        <v>1302</v>
      </c>
      <c r="H6" s="76" t="s">
        <v>1303</v>
      </c>
    </row>
    <row r="7" customFormat="false" ht="15" hidden="false" customHeight="true" outlineLevel="0" collapsed="false">
      <c r="A7" s="6" t="s">
        <v>1304</v>
      </c>
      <c r="B7" s="7" t="s">
        <v>1305</v>
      </c>
      <c r="C7" s="72" t="n">
        <v>31000</v>
      </c>
      <c r="D7" s="73" t="n">
        <v>0.755</v>
      </c>
      <c r="E7" s="74" t="n">
        <v>22360</v>
      </c>
      <c r="F7" s="75" t="n">
        <f aca="false">C7*0.9-E7</f>
        <v>5540</v>
      </c>
      <c r="G7" s="7" t="s">
        <v>1306</v>
      </c>
      <c r="H7" s="8" t="s">
        <v>1307</v>
      </c>
    </row>
    <row r="8" customFormat="false" ht="15" hidden="false" customHeight="true" outlineLevel="0" collapsed="false">
      <c r="A8" s="6" t="s">
        <v>1308</v>
      </c>
      <c r="B8" s="7" t="s">
        <v>1309</v>
      </c>
      <c r="C8" s="72" t="n">
        <v>24000</v>
      </c>
      <c r="D8" s="73" t="n">
        <v>0.382</v>
      </c>
      <c r="E8" s="74" t="n">
        <v>19658</v>
      </c>
      <c r="F8" s="75" t="n">
        <f aca="false">C8*0.9-E8</f>
        <v>1942</v>
      </c>
      <c r="G8" s="7" t="s">
        <v>1310</v>
      </c>
      <c r="H8" s="8" t="s">
        <v>1311</v>
      </c>
    </row>
    <row r="9" customFormat="false" ht="15" hidden="false" customHeight="true" outlineLevel="0" collapsed="false">
      <c r="A9" s="10" t="s">
        <v>1312</v>
      </c>
      <c r="B9" s="7" t="s">
        <v>1313</v>
      </c>
      <c r="C9" s="72" t="n">
        <v>30000</v>
      </c>
      <c r="D9" s="73" t="n">
        <v>0.896</v>
      </c>
      <c r="E9" s="74" t="n">
        <v>25304</v>
      </c>
      <c r="F9" s="75" t="n">
        <f aca="false">C9*0.9-E9</f>
        <v>1696</v>
      </c>
      <c r="G9" s="7" t="s">
        <v>1314</v>
      </c>
      <c r="H9" s="77" t="s">
        <v>1315</v>
      </c>
    </row>
    <row r="10" customFormat="false" ht="15" hidden="false" customHeight="true" outlineLevel="0" collapsed="false">
      <c r="A10" s="10" t="s">
        <v>1316</v>
      </c>
      <c r="B10" s="7" t="s">
        <v>1317</v>
      </c>
      <c r="C10" s="72" t="n">
        <v>27000</v>
      </c>
      <c r="D10" s="73" t="n">
        <v>0.72</v>
      </c>
      <c r="E10" s="74" t="n">
        <v>24279</v>
      </c>
      <c r="F10" s="75" t="n">
        <f aca="false">C10*0.9-E10</f>
        <v>21</v>
      </c>
      <c r="G10" s="7" t="s">
        <v>1318</v>
      </c>
      <c r="H10" s="77" t="s">
        <v>1319</v>
      </c>
    </row>
    <row r="11" customFormat="false" ht="15" hidden="false" customHeight="true" outlineLevel="0" collapsed="false">
      <c r="A11" s="6" t="s">
        <v>1320</v>
      </c>
      <c r="B11" s="7" t="s">
        <v>1321</v>
      </c>
      <c r="C11" s="72" t="n">
        <v>22000</v>
      </c>
      <c r="D11" s="73" t="n">
        <v>0.795</v>
      </c>
      <c r="E11" s="74" t="n">
        <v>22140</v>
      </c>
      <c r="F11" s="75" t="n">
        <f aca="false">C11*0.9-E11</f>
        <v>-2340</v>
      </c>
      <c r="G11" s="7" t="s">
        <v>1322</v>
      </c>
      <c r="H11" s="77" t="s">
        <v>1323</v>
      </c>
    </row>
    <row r="12" customFormat="false" ht="27" hidden="false" customHeight="true" outlineLevel="0" collapsed="false">
      <c r="A12" s="10" t="s">
        <v>1324</v>
      </c>
      <c r="B12" s="7" t="s">
        <v>1325</v>
      </c>
      <c r="C12" s="72" t="n">
        <v>15000</v>
      </c>
      <c r="D12" s="73" t="n">
        <v>0.434</v>
      </c>
      <c r="E12" s="78" t="s">
        <v>124</v>
      </c>
      <c r="F12" s="79" t="s">
        <v>124</v>
      </c>
      <c r="G12" s="8" t="s">
        <v>124</v>
      </c>
      <c r="H12" s="80" t="s">
        <v>1326</v>
      </c>
    </row>
    <row r="13" customFormat="false" ht="27" hidden="false" customHeight="true" outlineLevel="0" collapsed="false">
      <c r="A13" s="10" t="s">
        <v>1327</v>
      </c>
      <c r="B13" s="7" t="s">
        <v>1328</v>
      </c>
      <c r="C13" s="72" t="n">
        <v>13000</v>
      </c>
      <c r="D13" s="73" t="n">
        <v>0.108</v>
      </c>
      <c r="E13" s="78" t="s">
        <v>124</v>
      </c>
      <c r="F13" s="79" t="s">
        <v>124</v>
      </c>
      <c r="G13" s="8" t="s">
        <v>124</v>
      </c>
      <c r="H13" s="8" t="s">
        <v>1329</v>
      </c>
    </row>
    <row r="15" customFormat="false" ht="15" hidden="false" customHeight="true" outlineLevel="0" collapsed="false">
      <c r="A15" s="4" t="s">
        <v>1330</v>
      </c>
      <c r="B15" s="4" t="s">
        <v>1331</v>
      </c>
      <c r="C15" s="4" t="s">
        <v>1332</v>
      </c>
      <c r="D15" s="4" t="s">
        <v>1333</v>
      </c>
      <c r="E15" s="4"/>
      <c r="F15" s="4"/>
      <c r="G15" s="4"/>
      <c r="H15" s="4" t="s">
        <v>1190</v>
      </c>
    </row>
    <row r="16" customFormat="false" ht="15" hidden="false" customHeight="true" outlineLevel="0" collapsed="false">
      <c r="A16" s="10" t="s">
        <v>1213</v>
      </c>
      <c r="B16" s="7" t="s">
        <v>1334</v>
      </c>
      <c r="C16" s="7" t="s">
        <v>1335</v>
      </c>
      <c r="D16" s="81" t="n">
        <v>2543</v>
      </c>
      <c r="E16" s="7"/>
      <c r="F16" s="7"/>
      <c r="G16" s="7"/>
      <c r="H16" s="76" t="s">
        <v>1336</v>
      </c>
    </row>
    <row r="17" customFormat="false" ht="15" hidden="false" customHeight="true" outlineLevel="0" collapsed="false">
      <c r="A17" s="10" t="s">
        <v>1174</v>
      </c>
      <c r="B17" s="7" t="s">
        <v>1337</v>
      </c>
      <c r="C17" s="7" t="s">
        <v>1338</v>
      </c>
      <c r="D17" s="81" t="n">
        <v>1709</v>
      </c>
      <c r="E17" s="7"/>
      <c r="F17" s="7"/>
      <c r="G17" s="7"/>
      <c r="H17" s="76" t="s">
        <v>429</v>
      </c>
    </row>
    <row r="18" customFormat="false" ht="15" hidden="false" customHeight="true" outlineLevel="0" collapsed="false">
      <c r="A18" s="10" t="s">
        <v>1181</v>
      </c>
      <c r="B18" s="7" t="s">
        <v>1339</v>
      </c>
      <c r="C18" s="7" t="s">
        <v>1340</v>
      </c>
      <c r="D18" s="81" t="n">
        <v>1063</v>
      </c>
      <c r="E18" s="7"/>
      <c r="F18" s="7"/>
      <c r="G18" s="7"/>
      <c r="H18" s="76" t="s">
        <v>429</v>
      </c>
    </row>
    <row r="19" customFormat="false" ht="15" hidden="false" customHeight="true" outlineLevel="0" collapsed="false">
      <c r="A19" s="10" t="s">
        <v>1186</v>
      </c>
      <c r="B19" s="7" t="s">
        <v>1341</v>
      </c>
      <c r="C19" s="7" t="s">
        <v>1342</v>
      </c>
      <c r="D19" s="81" t="n">
        <v>462</v>
      </c>
      <c r="E19" s="7"/>
      <c r="F19" s="7"/>
      <c r="G19" s="7"/>
      <c r="H19" s="76" t="s">
        <v>429</v>
      </c>
    </row>
    <row r="20" customFormat="false" ht="15" hidden="false" customHeight="true" outlineLevel="0" collapsed="false">
      <c r="A20" s="10" t="s">
        <v>1343</v>
      </c>
      <c r="B20" s="7" t="s">
        <v>1344</v>
      </c>
      <c r="C20" s="7" t="s">
        <v>1345</v>
      </c>
      <c r="D20" s="81" t="n">
        <v>-190</v>
      </c>
      <c r="E20" s="7"/>
      <c r="F20" s="7"/>
      <c r="G20" s="7"/>
      <c r="H20" s="77" t="s">
        <v>1346</v>
      </c>
    </row>
    <row r="22" customFormat="false" ht="27.75" hidden="false" customHeight="true" outlineLevel="0" collapsed="false">
      <c r="A22" s="5" t="s">
        <v>1347</v>
      </c>
      <c r="B22" s="4" t="s">
        <v>284</v>
      </c>
      <c r="C22" s="4" t="s">
        <v>1348</v>
      </c>
      <c r="D22" s="4" t="s">
        <v>364</v>
      </c>
      <c r="E22" s="4" t="s">
        <v>1349</v>
      </c>
      <c r="F22" s="4"/>
      <c r="G22" s="4"/>
      <c r="H22" s="4" t="s">
        <v>223</v>
      </c>
    </row>
    <row r="23" customFormat="false" ht="15" hidden="false" customHeight="true" outlineLevel="0" collapsed="false">
      <c r="A23" s="10" t="s">
        <v>1350</v>
      </c>
      <c r="B23" s="82" t="n">
        <v>2200</v>
      </c>
      <c r="C23" s="82" t="n">
        <v>0</v>
      </c>
      <c r="D23" s="82" t="n">
        <v>8753</v>
      </c>
      <c r="E23" s="82"/>
      <c r="F23" s="7"/>
      <c r="G23" s="7"/>
      <c r="H23" s="8" t="s">
        <v>1351</v>
      </c>
    </row>
    <row r="24" customFormat="false" ht="15" hidden="false" customHeight="true" outlineLevel="0" collapsed="false">
      <c r="A24" s="10" t="s">
        <v>1352</v>
      </c>
      <c r="B24" s="82" t="n">
        <v>2420</v>
      </c>
      <c r="C24" s="82" t="n">
        <v>487</v>
      </c>
      <c r="D24" s="82" t="n">
        <v>9582</v>
      </c>
      <c r="E24" s="82" t="n">
        <f aca="false">D24-D23</f>
        <v>829</v>
      </c>
      <c r="F24" s="7"/>
      <c r="G24" s="7"/>
      <c r="H24" s="8" t="s">
        <v>1353</v>
      </c>
    </row>
    <row r="25" customFormat="false" ht="15" hidden="false" customHeight="true" outlineLevel="0" collapsed="false">
      <c r="A25" s="10" t="s">
        <v>1354</v>
      </c>
      <c r="B25" s="82" t="n">
        <v>2640</v>
      </c>
      <c r="C25" s="82" t="n">
        <v>1100</v>
      </c>
      <c r="D25" s="82" t="n">
        <v>10329</v>
      </c>
      <c r="E25" s="82" t="n">
        <f aca="false">D25-D24</f>
        <v>747</v>
      </c>
      <c r="F25" s="7"/>
      <c r="G25" s="7"/>
      <c r="H25" s="8" t="s">
        <v>1355</v>
      </c>
    </row>
    <row r="26" customFormat="false" ht="15" hidden="false" customHeight="true" outlineLevel="0" collapsed="false">
      <c r="A26" s="10" t="s">
        <v>1356</v>
      </c>
      <c r="B26" s="82" t="n">
        <v>2860</v>
      </c>
      <c r="C26" s="82" t="n">
        <v>1863</v>
      </c>
      <c r="D26" s="82" t="n">
        <v>10978</v>
      </c>
      <c r="E26" s="82" t="n">
        <f aca="false">D26-D25</f>
        <v>649</v>
      </c>
      <c r="F26" s="7"/>
      <c r="G26" s="7"/>
      <c r="H26" s="8" t="s">
        <v>1357</v>
      </c>
    </row>
    <row r="28" customFormat="false" ht="27.75" hidden="false" customHeight="true" outlineLevel="0" collapsed="false">
      <c r="A28" s="5" t="s">
        <v>1358</v>
      </c>
      <c r="B28" s="4" t="s">
        <v>55</v>
      </c>
      <c r="C28" s="4" t="s">
        <v>1359</v>
      </c>
      <c r="D28" s="4" t="s">
        <v>1360</v>
      </c>
      <c r="E28" s="4"/>
      <c r="F28" s="4"/>
      <c r="G28" s="4"/>
      <c r="H28" s="4" t="s">
        <v>223</v>
      </c>
    </row>
    <row r="29" customFormat="false" ht="27.75" hidden="false" customHeight="true" outlineLevel="0" collapsed="false">
      <c r="A29" s="10" t="s">
        <v>1361</v>
      </c>
      <c r="B29" s="8" t="s">
        <v>1362</v>
      </c>
      <c r="C29" s="82" t="n">
        <v>9582</v>
      </c>
      <c r="D29" s="82" t="n">
        <v>19245</v>
      </c>
      <c r="E29" s="7"/>
      <c r="F29" s="7"/>
      <c r="G29" s="7"/>
      <c r="H29" s="8" t="s">
        <v>1363</v>
      </c>
    </row>
    <row r="30" customFormat="false" ht="15" hidden="false" customHeight="true" outlineLevel="0" collapsed="false">
      <c r="A30" s="10" t="s">
        <v>1364</v>
      </c>
      <c r="B30" s="8" t="s">
        <v>1365</v>
      </c>
      <c r="C30" s="82" t="n">
        <v>9582</v>
      </c>
      <c r="D30" s="82" t="n">
        <v>15740</v>
      </c>
      <c r="E30" s="7"/>
      <c r="F30" s="7"/>
      <c r="G30" s="7"/>
      <c r="H30" s="8" t="s">
        <v>1366</v>
      </c>
    </row>
    <row r="31" customFormat="false" ht="15" hidden="false" customHeight="true" outlineLevel="0" collapsed="false">
      <c r="A31" s="10" t="s">
        <v>1367</v>
      </c>
      <c r="B31" s="8" t="s">
        <v>1368</v>
      </c>
      <c r="C31" s="82" t="n">
        <v>9582</v>
      </c>
      <c r="D31" s="82" t="n">
        <v>20740</v>
      </c>
      <c r="E31" s="7"/>
      <c r="F31" s="7"/>
      <c r="G31" s="7"/>
      <c r="H31" s="8" t="s">
        <v>1369</v>
      </c>
    </row>
    <row r="32" customFormat="false" ht="15" hidden="false" customHeight="true" outlineLevel="0" collapsed="false">
      <c r="A32" s="10" t="s">
        <v>1370</v>
      </c>
      <c r="B32" s="8" t="s">
        <v>1371</v>
      </c>
      <c r="C32" s="82" t="n">
        <v>9435</v>
      </c>
      <c r="D32" s="82" t="n">
        <v>20594</v>
      </c>
      <c r="E32" s="7"/>
      <c r="F32" s="7"/>
      <c r="G32" s="7"/>
      <c r="H32" s="8" t="s">
        <v>1372</v>
      </c>
    </row>
    <row r="33" customFormat="false" ht="27" hidden="false" customHeight="true" outlineLevel="0" collapsed="false">
      <c r="A33" s="10" t="s">
        <v>1373</v>
      </c>
      <c r="B33" s="8" t="s">
        <v>1374</v>
      </c>
      <c r="C33" s="82" t="n">
        <v>9777</v>
      </c>
      <c r="D33" s="82" t="n">
        <v>5935</v>
      </c>
      <c r="E33" s="7"/>
      <c r="F33" s="7"/>
      <c r="G33" s="7"/>
      <c r="H33" s="8" t="s">
        <v>1375</v>
      </c>
    </row>
    <row r="34" customFormat="false" ht="15" hidden="false" customHeight="true" outlineLevel="0" collapsed="false">
      <c r="A34" s="10" t="s">
        <v>1376</v>
      </c>
      <c r="B34" s="8" t="s">
        <v>1377</v>
      </c>
      <c r="C34" s="82" t="n">
        <v>9582</v>
      </c>
      <c r="D34" s="82" t="n">
        <v>12740</v>
      </c>
      <c r="E34" s="7"/>
      <c r="F34" s="7"/>
      <c r="G34" s="7"/>
      <c r="H34" s="8" t="s">
        <v>1378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selection pane="top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1379</v>
      </c>
    </row>
    <row r="2" customFormat="false" ht="102.75" hidden="false" customHeight="true" outlineLevel="0" collapsed="false">
      <c r="A2" s="51" t="s">
        <v>1380</v>
      </c>
    </row>
    <row r="4" customFormat="false" ht="15" hidden="false" customHeight="true" outlineLevel="0" collapsed="false">
      <c r="A4" s="13" t="s">
        <v>1381</v>
      </c>
      <c r="B4" s="13" t="s">
        <v>1148</v>
      </c>
      <c r="C4" s="13" t="s">
        <v>2</v>
      </c>
      <c r="D4" s="13" t="s">
        <v>1382</v>
      </c>
      <c r="E4" s="13" t="s">
        <v>853</v>
      </c>
      <c r="F4" s="13" t="s">
        <v>1383</v>
      </c>
      <c r="G4" s="13" t="s">
        <v>732</v>
      </c>
    </row>
    <row r="5" customFormat="false" ht="15" hidden="false" customHeight="true" outlineLevel="0" collapsed="false">
      <c r="A5" s="21" t="s">
        <v>1384</v>
      </c>
      <c r="B5" s="21" t="s">
        <v>1385</v>
      </c>
      <c r="C5" s="18" t="s">
        <v>1386</v>
      </c>
      <c r="D5" s="21" t="s">
        <v>1387</v>
      </c>
      <c r="E5" s="18" t="s">
        <v>1388</v>
      </c>
      <c r="F5" s="21" t="s">
        <v>1389</v>
      </c>
      <c r="G5" s="18" t="s">
        <v>1390</v>
      </c>
    </row>
    <row r="6" customFormat="false" ht="26.25" hidden="false" customHeight="true" outlineLevel="0" collapsed="false">
      <c r="A6" s="21" t="s">
        <v>1384</v>
      </c>
      <c r="B6" s="21" t="s">
        <v>1385</v>
      </c>
      <c r="C6" s="18" t="s">
        <v>1391</v>
      </c>
      <c r="D6" s="21" t="s">
        <v>1392</v>
      </c>
      <c r="E6" s="18" t="s">
        <v>1393</v>
      </c>
      <c r="F6" s="18" t="s">
        <v>1394</v>
      </c>
      <c r="G6" s="18" t="s">
        <v>1395</v>
      </c>
    </row>
    <row r="7" customFormat="false" ht="26.25" hidden="false" customHeight="true" outlineLevel="0" collapsed="false">
      <c r="A7" s="21" t="s">
        <v>1384</v>
      </c>
      <c r="B7" s="21" t="s">
        <v>1385</v>
      </c>
      <c r="C7" s="21" t="s">
        <v>1396</v>
      </c>
      <c r="D7" s="18" t="s">
        <v>1397</v>
      </c>
      <c r="E7" s="21" t="s">
        <v>1398</v>
      </c>
      <c r="F7" s="18" t="s">
        <v>1399</v>
      </c>
      <c r="G7" s="18" t="s">
        <v>1400</v>
      </c>
    </row>
    <row r="8" customFormat="false" ht="26.25" hidden="false" customHeight="true" outlineLevel="0" collapsed="false">
      <c r="A8" s="21" t="s">
        <v>1384</v>
      </c>
      <c r="B8" s="21" t="s">
        <v>1385</v>
      </c>
      <c r="C8" s="18" t="s">
        <v>1401</v>
      </c>
      <c r="D8" s="18" t="s">
        <v>1402</v>
      </c>
      <c r="E8" s="18" t="s">
        <v>1403</v>
      </c>
      <c r="F8" s="21" t="s">
        <v>1404</v>
      </c>
      <c r="G8" s="18" t="s">
        <v>1390</v>
      </c>
    </row>
    <row r="9" customFormat="false" ht="26.25" hidden="false" customHeight="true" outlineLevel="0" collapsed="false">
      <c r="A9" s="21" t="s">
        <v>1384</v>
      </c>
      <c r="B9" s="21" t="s">
        <v>1385</v>
      </c>
      <c r="C9" s="18" t="s">
        <v>1405</v>
      </c>
      <c r="D9" s="21" t="s">
        <v>1406</v>
      </c>
      <c r="E9" s="18" t="s">
        <v>1407</v>
      </c>
      <c r="F9" s="21" t="s">
        <v>1408</v>
      </c>
      <c r="G9" s="18" t="s">
        <v>1390</v>
      </c>
    </row>
    <row r="10" customFormat="false" ht="15" hidden="false" customHeight="true" outlineLevel="0" collapsed="false">
      <c r="A10" s="21" t="s">
        <v>1384</v>
      </c>
      <c r="B10" s="21" t="s">
        <v>1385</v>
      </c>
      <c r="C10" s="18" t="s">
        <v>1409</v>
      </c>
      <c r="D10" s="18" t="s">
        <v>1410</v>
      </c>
      <c r="E10" s="21" t="s">
        <v>1411</v>
      </c>
      <c r="F10" s="18" t="s">
        <v>1412</v>
      </c>
      <c r="G10" s="18" t="s">
        <v>1395</v>
      </c>
    </row>
    <row r="11" customFormat="false" ht="26.25" hidden="false" customHeight="true" outlineLevel="0" collapsed="false">
      <c r="A11" s="21" t="s">
        <v>1384</v>
      </c>
      <c r="B11" s="21" t="s">
        <v>1385</v>
      </c>
      <c r="C11" s="18" t="s">
        <v>1413</v>
      </c>
      <c r="D11" s="18" t="s">
        <v>1414</v>
      </c>
      <c r="E11" s="21" t="s">
        <v>1415</v>
      </c>
      <c r="F11" s="18" t="s">
        <v>1416</v>
      </c>
      <c r="G11" s="18" t="s">
        <v>1417</v>
      </c>
    </row>
    <row r="12" customFormat="false" ht="26.25" hidden="false" customHeight="true" outlineLevel="0" collapsed="false">
      <c r="A12" s="21" t="s">
        <v>1384</v>
      </c>
      <c r="B12" s="21" t="s">
        <v>1385</v>
      </c>
      <c r="C12" s="21" t="s">
        <v>1418</v>
      </c>
      <c r="D12" s="18" t="s">
        <v>1419</v>
      </c>
      <c r="E12" s="21" t="s">
        <v>1420</v>
      </c>
      <c r="F12" s="21" t="s">
        <v>1421</v>
      </c>
      <c r="G12" s="18" t="s">
        <v>1422</v>
      </c>
    </row>
    <row r="13" customFormat="false" ht="26.25" hidden="false" customHeight="true" outlineLevel="0" collapsed="false">
      <c r="A13" s="21" t="s">
        <v>1384</v>
      </c>
      <c r="B13" s="21" t="s">
        <v>1385</v>
      </c>
      <c r="C13" s="21" t="s">
        <v>1423</v>
      </c>
      <c r="D13" s="18" t="s">
        <v>1424</v>
      </c>
      <c r="E13" s="21" t="s">
        <v>1425</v>
      </c>
      <c r="F13" s="18" t="s">
        <v>1426</v>
      </c>
      <c r="G13" s="18" t="s">
        <v>1395</v>
      </c>
    </row>
    <row r="14" customFormat="false" ht="26.25" hidden="false" customHeight="true" outlineLevel="0" collapsed="false">
      <c r="A14" s="21" t="s">
        <v>1427</v>
      </c>
      <c r="B14" s="21" t="s">
        <v>1428</v>
      </c>
      <c r="C14" s="18" t="s">
        <v>1429</v>
      </c>
      <c r="D14" s="18" t="s">
        <v>1430</v>
      </c>
      <c r="E14" s="18" t="s">
        <v>1431</v>
      </c>
      <c r="F14" s="18" t="s">
        <v>1432</v>
      </c>
      <c r="G14" s="18" t="s">
        <v>438</v>
      </c>
    </row>
    <row r="15" customFormat="false" ht="15" hidden="false" customHeight="true" outlineLevel="0" collapsed="false">
      <c r="A15" s="21" t="s">
        <v>1427</v>
      </c>
      <c r="B15" s="21" t="s">
        <v>1428</v>
      </c>
      <c r="C15" s="18" t="s">
        <v>1433</v>
      </c>
      <c r="D15" s="21" t="s">
        <v>1434</v>
      </c>
      <c r="E15" s="21" t="s">
        <v>1435</v>
      </c>
      <c r="F15" s="18" t="s">
        <v>1436</v>
      </c>
      <c r="G15" s="18" t="s">
        <v>438</v>
      </c>
    </row>
    <row r="16" customFormat="false" ht="15" hidden="false" customHeight="true" outlineLevel="0" collapsed="false">
      <c r="A16" s="21" t="s">
        <v>1427</v>
      </c>
      <c r="B16" s="21" t="s">
        <v>1428</v>
      </c>
      <c r="C16" s="18" t="s">
        <v>1437</v>
      </c>
      <c r="D16" s="18" t="s">
        <v>1438</v>
      </c>
      <c r="E16" s="18" t="s">
        <v>1439</v>
      </c>
      <c r="F16" s="18" t="s">
        <v>1440</v>
      </c>
      <c r="G16" s="18" t="s">
        <v>429</v>
      </c>
    </row>
    <row r="17" customFormat="false" ht="26.25" hidden="false" customHeight="true" outlineLevel="0" collapsed="false">
      <c r="A17" s="21" t="s">
        <v>1427</v>
      </c>
      <c r="B17" s="21" t="s">
        <v>1428</v>
      </c>
      <c r="C17" s="21" t="s">
        <v>1441</v>
      </c>
      <c r="D17" s="18" t="s">
        <v>1442</v>
      </c>
      <c r="E17" s="18" t="s">
        <v>1443</v>
      </c>
      <c r="F17" s="21" t="s">
        <v>1444</v>
      </c>
      <c r="G17" s="18" t="s">
        <v>1390</v>
      </c>
    </row>
    <row r="18" customFormat="false" ht="26.25" hidden="false" customHeight="true" outlineLevel="0" collapsed="false">
      <c r="A18" s="21" t="s">
        <v>1427</v>
      </c>
      <c r="B18" s="21" t="s">
        <v>1428</v>
      </c>
      <c r="C18" s="21" t="s">
        <v>249</v>
      </c>
      <c r="D18" s="18" t="s">
        <v>1445</v>
      </c>
      <c r="E18" s="18" t="s">
        <v>1446</v>
      </c>
      <c r="F18" s="21" t="s">
        <v>1447</v>
      </c>
      <c r="G18" s="18" t="s">
        <v>1390</v>
      </c>
    </row>
    <row r="19" customFormat="false" ht="15" hidden="false" customHeight="true" outlineLevel="0" collapsed="false">
      <c r="A19" s="21" t="s">
        <v>1427</v>
      </c>
      <c r="B19" s="21" t="s">
        <v>1428</v>
      </c>
      <c r="C19" s="21" t="s">
        <v>1448</v>
      </c>
      <c r="D19" s="18" t="s">
        <v>1449</v>
      </c>
      <c r="E19" s="18" t="s">
        <v>1450</v>
      </c>
      <c r="F19" s="18" t="s">
        <v>1451</v>
      </c>
      <c r="G19" s="18" t="s">
        <v>1390</v>
      </c>
    </row>
    <row r="20" customFormat="false" ht="15" hidden="false" customHeight="true" outlineLevel="0" collapsed="false">
      <c r="A20" s="21" t="s">
        <v>1427</v>
      </c>
      <c r="B20" s="21" t="s">
        <v>1428</v>
      </c>
      <c r="C20" s="21" t="s">
        <v>291</v>
      </c>
      <c r="D20" s="18" t="s">
        <v>1452</v>
      </c>
      <c r="E20" s="18" t="s">
        <v>1453</v>
      </c>
      <c r="F20" s="18" t="s">
        <v>1454</v>
      </c>
      <c r="G20" s="18" t="s">
        <v>1395</v>
      </c>
    </row>
    <row r="21" customFormat="false" ht="15" hidden="false" customHeight="true" outlineLevel="0" collapsed="false">
      <c r="A21" s="21" t="s">
        <v>1427</v>
      </c>
      <c r="B21" s="21" t="s">
        <v>1455</v>
      </c>
      <c r="C21" s="18" t="s">
        <v>1456</v>
      </c>
      <c r="D21" s="18" t="s">
        <v>1457</v>
      </c>
      <c r="E21" s="18" t="s">
        <v>1458</v>
      </c>
      <c r="F21" s="21" t="s">
        <v>1459</v>
      </c>
      <c r="G21" s="18" t="s">
        <v>1390</v>
      </c>
    </row>
    <row r="22" customFormat="false" ht="15" hidden="false" customHeight="true" outlineLevel="0" collapsed="false">
      <c r="A22" s="21" t="s">
        <v>1427</v>
      </c>
      <c r="B22" s="21" t="s">
        <v>1455</v>
      </c>
      <c r="C22" s="18" t="s">
        <v>1460</v>
      </c>
      <c r="D22" s="18" t="s">
        <v>1461</v>
      </c>
      <c r="E22" s="18" t="s">
        <v>1462</v>
      </c>
      <c r="F22" s="18" t="s">
        <v>1463</v>
      </c>
      <c r="G22" s="18" t="s">
        <v>1390</v>
      </c>
    </row>
    <row r="23" customFormat="false" ht="15" hidden="false" customHeight="true" outlineLevel="0" collapsed="false">
      <c r="A23" s="21" t="s">
        <v>1427</v>
      </c>
      <c r="B23" s="21" t="s">
        <v>1455</v>
      </c>
      <c r="C23" s="18" t="s">
        <v>1464</v>
      </c>
      <c r="D23" s="21" t="s">
        <v>1465</v>
      </c>
      <c r="E23" s="21" t="s">
        <v>1466</v>
      </c>
      <c r="F23" s="18" t="s">
        <v>1467</v>
      </c>
      <c r="G23" s="18" t="s">
        <v>1390</v>
      </c>
    </row>
    <row r="24" customFormat="false" ht="15" hidden="false" customHeight="true" outlineLevel="0" collapsed="false">
      <c r="A24" s="21" t="s">
        <v>1427</v>
      </c>
      <c r="B24" s="21" t="s">
        <v>1455</v>
      </c>
      <c r="C24" s="21" t="s">
        <v>1468</v>
      </c>
      <c r="D24" s="18" t="s">
        <v>1469</v>
      </c>
      <c r="E24" s="18" t="s">
        <v>1470</v>
      </c>
      <c r="F24" s="18" t="s">
        <v>1471</v>
      </c>
      <c r="G24" s="18" t="s">
        <v>1395</v>
      </c>
    </row>
    <row r="25" customFormat="false" ht="15" hidden="false" customHeight="true" outlineLevel="0" collapsed="false">
      <c r="A25" s="21" t="s">
        <v>1472</v>
      </c>
      <c r="B25" s="21" t="s">
        <v>1473</v>
      </c>
      <c r="C25" s="18" t="s">
        <v>1474</v>
      </c>
      <c r="D25" s="18" t="s">
        <v>1475</v>
      </c>
      <c r="E25" s="21" t="s">
        <v>1476</v>
      </c>
      <c r="F25" s="18" t="s">
        <v>1477</v>
      </c>
      <c r="G25" s="18" t="s">
        <v>1395</v>
      </c>
    </row>
    <row r="26" customFormat="false" ht="15" hidden="false" customHeight="true" outlineLevel="0" collapsed="false">
      <c r="A26" s="21" t="s">
        <v>1472</v>
      </c>
      <c r="B26" s="21" t="s">
        <v>1473</v>
      </c>
      <c r="C26" s="21" t="s">
        <v>1478</v>
      </c>
      <c r="D26" s="18" t="s">
        <v>1479</v>
      </c>
      <c r="E26" s="21" t="s">
        <v>1480</v>
      </c>
      <c r="F26" s="21" t="s">
        <v>1481</v>
      </c>
      <c r="G26" s="18" t="s">
        <v>1395</v>
      </c>
    </row>
    <row r="27" customFormat="false" ht="15" hidden="false" customHeight="true" outlineLevel="0" collapsed="false">
      <c r="A27" s="21" t="s">
        <v>1472</v>
      </c>
      <c r="B27" s="21" t="s">
        <v>1473</v>
      </c>
      <c r="C27" s="21" t="s">
        <v>249</v>
      </c>
      <c r="D27" s="21" t="s">
        <v>1482</v>
      </c>
      <c r="E27" s="18" t="s">
        <v>1483</v>
      </c>
      <c r="F27" s="18" t="s">
        <v>1484</v>
      </c>
      <c r="G27" s="18" t="s">
        <v>429</v>
      </c>
    </row>
    <row r="28" customFormat="false" ht="15" hidden="false" customHeight="true" outlineLevel="0" collapsed="false">
      <c r="A28" s="21" t="s">
        <v>1472</v>
      </c>
      <c r="B28" s="21" t="s">
        <v>1473</v>
      </c>
      <c r="C28" s="18" t="s">
        <v>1485</v>
      </c>
      <c r="D28" s="18" t="s">
        <v>1486</v>
      </c>
      <c r="E28" s="21" t="s">
        <v>1487</v>
      </c>
      <c r="F28" s="21" t="s">
        <v>1488</v>
      </c>
      <c r="G28" s="18" t="s">
        <v>438</v>
      </c>
    </row>
    <row r="29" customFormat="false" ht="15" hidden="false" customHeight="true" outlineLevel="0" collapsed="false">
      <c r="A29" s="21" t="s">
        <v>1472</v>
      </c>
      <c r="B29" s="21" t="s">
        <v>1473</v>
      </c>
      <c r="C29" s="18" t="s">
        <v>1489</v>
      </c>
      <c r="D29" s="18" t="s">
        <v>1490</v>
      </c>
      <c r="E29" s="21" t="s">
        <v>1491</v>
      </c>
      <c r="F29" s="21" t="s">
        <v>1492</v>
      </c>
      <c r="G29" s="18" t="s">
        <v>438</v>
      </c>
    </row>
    <row r="30" customFormat="false" ht="15" hidden="false" customHeight="true" outlineLevel="0" collapsed="false">
      <c r="A30" s="21" t="s">
        <v>1472</v>
      </c>
      <c r="B30" s="21" t="s">
        <v>1473</v>
      </c>
      <c r="C30" s="18" t="s">
        <v>1493</v>
      </c>
      <c r="D30" s="18" t="s">
        <v>1494</v>
      </c>
      <c r="E30" s="21" t="s">
        <v>1495</v>
      </c>
      <c r="F30" s="18" t="s">
        <v>1496</v>
      </c>
      <c r="G30" s="18" t="s">
        <v>1395</v>
      </c>
    </row>
    <row r="31" customFormat="false" ht="15" hidden="false" customHeight="true" outlineLevel="0" collapsed="false">
      <c r="A31" s="21" t="s">
        <v>1472</v>
      </c>
      <c r="B31" s="21" t="s">
        <v>1497</v>
      </c>
      <c r="C31" s="18" t="s">
        <v>1464</v>
      </c>
      <c r="D31" s="21" t="s">
        <v>1498</v>
      </c>
      <c r="E31" s="21" t="s">
        <v>1499</v>
      </c>
      <c r="F31" s="18" t="s">
        <v>1500</v>
      </c>
      <c r="G31" s="18" t="s">
        <v>1390</v>
      </c>
    </row>
    <row r="32" customFormat="false" ht="26.25" hidden="false" customHeight="true" outlineLevel="0" collapsed="false">
      <c r="A32" s="21" t="s">
        <v>1472</v>
      </c>
      <c r="B32" s="21" t="s">
        <v>1497</v>
      </c>
      <c r="C32" s="18" t="s">
        <v>1501</v>
      </c>
      <c r="D32" s="18" t="s">
        <v>1502</v>
      </c>
      <c r="E32" s="18" t="s">
        <v>1503</v>
      </c>
      <c r="F32" s="18" t="s">
        <v>1504</v>
      </c>
      <c r="G32" s="18" t="s">
        <v>1395</v>
      </c>
    </row>
    <row r="33" customFormat="false" ht="15" hidden="false" customHeight="true" outlineLevel="0" collapsed="false">
      <c r="A33" s="21" t="s">
        <v>1472</v>
      </c>
      <c r="B33" s="21" t="s">
        <v>1497</v>
      </c>
      <c r="C33" s="18" t="s">
        <v>1505</v>
      </c>
      <c r="D33" s="18" t="s">
        <v>1506</v>
      </c>
      <c r="E33" s="21" t="s">
        <v>1507</v>
      </c>
      <c r="F33" s="18" t="s">
        <v>1508</v>
      </c>
      <c r="G33" s="18" t="s">
        <v>1390</v>
      </c>
    </row>
    <row r="34" customFormat="false" ht="15" hidden="false" customHeight="true" outlineLevel="0" collapsed="false">
      <c r="A34" s="21" t="s">
        <v>1472</v>
      </c>
      <c r="B34" s="21" t="s">
        <v>1497</v>
      </c>
      <c r="C34" s="21" t="s">
        <v>1509</v>
      </c>
      <c r="D34" s="18" t="s">
        <v>1510</v>
      </c>
      <c r="E34" s="21" t="s">
        <v>1511</v>
      </c>
      <c r="F34" s="18" t="s">
        <v>1512</v>
      </c>
      <c r="G34" s="18" t="s">
        <v>1390</v>
      </c>
    </row>
    <row r="35" customFormat="false" ht="42" hidden="false" customHeight="true" outlineLevel="0" collapsed="false">
      <c r="A35" s="21" t="s">
        <v>1513</v>
      </c>
      <c r="B35" s="21" t="s">
        <v>1514</v>
      </c>
      <c r="C35" s="18" t="s">
        <v>1515</v>
      </c>
      <c r="D35" s="18" t="s">
        <v>1516</v>
      </c>
      <c r="E35" s="21" t="s">
        <v>1517</v>
      </c>
      <c r="F35" s="18" t="s">
        <v>1518</v>
      </c>
      <c r="G35" s="18" t="s">
        <v>438</v>
      </c>
    </row>
    <row r="36" customFormat="false" ht="42" hidden="false" customHeight="true" outlineLevel="0" collapsed="false">
      <c r="A36" s="21" t="s">
        <v>1513</v>
      </c>
      <c r="B36" s="21" t="s">
        <v>1514</v>
      </c>
      <c r="C36" s="18" t="s">
        <v>1519</v>
      </c>
      <c r="D36" s="18" t="s">
        <v>1520</v>
      </c>
      <c r="E36" s="21" t="s">
        <v>1521</v>
      </c>
      <c r="F36" s="18" t="s">
        <v>1522</v>
      </c>
      <c r="G36" s="18" t="s">
        <v>438</v>
      </c>
    </row>
    <row r="37" customFormat="false" ht="28.5" hidden="false" customHeight="true" outlineLevel="0" collapsed="false">
      <c r="A37" s="21" t="s">
        <v>1513</v>
      </c>
      <c r="B37" s="21" t="s">
        <v>1514</v>
      </c>
      <c r="C37" s="21" t="s">
        <v>1523</v>
      </c>
      <c r="D37" s="21" t="s">
        <v>1524</v>
      </c>
      <c r="E37" s="21" t="s">
        <v>1525</v>
      </c>
      <c r="F37" s="18" t="s">
        <v>1526</v>
      </c>
      <c r="G37" s="18" t="s">
        <v>1390</v>
      </c>
    </row>
    <row r="38" customFormat="false" ht="28.5" hidden="false" customHeight="true" outlineLevel="0" collapsed="false">
      <c r="A38" s="21" t="s">
        <v>1513</v>
      </c>
      <c r="B38" s="21" t="s">
        <v>1514</v>
      </c>
      <c r="C38" s="18" t="s">
        <v>1527</v>
      </c>
      <c r="D38" s="18" t="s">
        <v>1479</v>
      </c>
      <c r="E38" s="21" t="s">
        <v>1528</v>
      </c>
      <c r="F38" s="21" t="s">
        <v>1529</v>
      </c>
      <c r="G38" s="18" t="s">
        <v>1395</v>
      </c>
    </row>
    <row r="39" customFormat="false" ht="15" hidden="false" customHeight="true" outlineLevel="0" collapsed="false">
      <c r="A39" s="21" t="s">
        <v>1513</v>
      </c>
      <c r="B39" s="21" t="s">
        <v>1514</v>
      </c>
      <c r="C39" s="18" t="s">
        <v>1493</v>
      </c>
      <c r="D39" s="18" t="s">
        <v>1494</v>
      </c>
      <c r="E39" s="21" t="s">
        <v>1530</v>
      </c>
      <c r="F39" s="18" t="s">
        <v>1531</v>
      </c>
      <c r="G39" s="18" t="s">
        <v>1395</v>
      </c>
    </row>
    <row r="40" customFormat="false" ht="15" hidden="false" customHeight="true" outlineLevel="0" collapsed="false">
      <c r="A40" s="21" t="s">
        <v>1513</v>
      </c>
      <c r="B40" s="21" t="s">
        <v>1514</v>
      </c>
      <c r="C40" s="21" t="s">
        <v>291</v>
      </c>
      <c r="D40" s="18" t="s">
        <v>1532</v>
      </c>
      <c r="E40" s="18" t="s">
        <v>1533</v>
      </c>
      <c r="F40" s="18" t="s">
        <v>1534</v>
      </c>
      <c r="G40" s="18" t="s">
        <v>1395</v>
      </c>
    </row>
    <row r="41" customFormat="false" ht="15" hidden="false" customHeight="true" outlineLevel="0" collapsed="false">
      <c r="A41" s="21" t="s">
        <v>1535</v>
      </c>
      <c r="B41" s="21" t="s">
        <v>1536</v>
      </c>
      <c r="C41" s="18" t="s">
        <v>1464</v>
      </c>
      <c r="D41" s="21" t="s">
        <v>1537</v>
      </c>
      <c r="E41" s="21" t="s">
        <v>1538</v>
      </c>
      <c r="F41" s="21" t="s">
        <v>1539</v>
      </c>
      <c r="G41" s="18" t="s">
        <v>1390</v>
      </c>
    </row>
    <row r="42" customFormat="false" ht="15" hidden="false" customHeight="true" outlineLevel="0" collapsed="false">
      <c r="A42" s="21" t="s">
        <v>1535</v>
      </c>
      <c r="B42" s="21" t="s">
        <v>1536</v>
      </c>
      <c r="C42" s="21" t="s">
        <v>1540</v>
      </c>
      <c r="D42" s="18" t="s">
        <v>1541</v>
      </c>
      <c r="E42" s="18" t="s">
        <v>1542</v>
      </c>
      <c r="F42" s="18" t="s">
        <v>1543</v>
      </c>
      <c r="G42" s="18" t="s">
        <v>1390</v>
      </c>
    </row>
    <row r="43" customFormat="false" ht="28.5" hidden="false" customHeight="true" outlineLevel="0" collapsed="false">
      <c r="A43" s="21" t="s">
        <v>1535</v>
      </c>
      <c r="B43" s="21" t="s">
        <v>1536</v>
      </c>
      <c r="C43" s="21" t="s">
        <v>1544</v>
      </c>
      <c r="D43" s="18" t="s">
        <v>1545</v>
      </c>
      <c r="E43" s="18" t="s">
        <v>1546</v>
      </c>
      <c r="F43" s="21" t="s">
        <v>1547</v>
      </c>
      <c r="G43" s="18" t="s">
        <v>1390</v>
      </c>
    </row>
    <row r="44" customFormat="false" ht="28.5" hidden="false" customHeight="true" outlineLevel="0" collapsed="false">
      <c r="A44" s="21" t="s">
        <v>1535</v>
      </c>
      <c r="B44" s="21" t="s">
        <v>1536</v>
      </c>
      <c r="C44" s="21" t="s">
        <v>1548</v>
      </c>
      <c r="D44" s="18" t="s">
        <v>124</v>
      </c>
      <c r="E44" s="18" t="s">
        <v>1549</v>
      </c>
      <c r="F44" s="18" t="s">
        <v>1550</v>
      </c>
      <c r="G44" s="18" t="s">
        <v>1390</v>
      </c>
    </row>
    <row r="45" customFormat="false" ht="28.5" hidden="false" customHeight="true" outlineLevel="0" collapsed="false">
      <c r="A45" s="21" t="s">
        <v>1535</v>
      </c>
      <c r="B45" s="21" t="s">
        <v>1536</v>
      </c>
      <c r="C45" s="18" t="s">
        <v>1551</v>
      </c>
      <c r="D45" s="18" t="s">
        <v>1552</v>
      </c>
      <c r="E45" s="21" t="s">
        <v>1553</v>
      </c>
      <c r="F45" s="18" t="s">
        <v>1554</v>
      </c>
      <c r="G45" s="18" t="s">
        <v>1390</v>
      </c>
    </row>
    <row r="46" customFormat="false" ht="28.5" hidden="false" customHeight="true" outlineLevel="0" collapsed="false">
      <c r="A46" s="21" t="s">
        <v>1535</v>
      </c>
      <c r="B46" s="21" t="s">
        <v>1536</v>
      </c>
      <c r="C46" s="18" t="s">
        <v>1501</v>
      </c>
      <c r="D46" s="18" t="s">
        <v>1555</v>
      </c>
      <c r="E46" s="21" t="s">
        <v>1556</v>
      </c>
      <c r="F46" s="21" t="s">
        <v>1557</v>
      </c>
      <c r="G46" s="18" t="s">
        <v>1395</v>
      </c>
    </row>
    <row r="47" customFormat="false" ht="15" hidden="false" customHeight="true" outlineLevel="0" collapsed="false">
      <c r="A47" s="21" t="s">
        <v>1535</v>
      </c>
      <c r="B47" s="21" t="s">
        <v>1536</v>
      </c>
      <c r="C47" s="18" t="s">
        <v>1558</v>
      </c>
      <c r="D47" s="21" t="s">
        <v>1559</v>
      </c>
      <c r="E47" s="21" t="s">
        <v>1560</v>
      </c>
      <c r="F47" s="21" t="s">
        <v>1561</v>
      </c>
      <c r="G47" s="18" t="s">
        <v>438</v>
      </c>
    </row>
    <row r="48" customFormat="false" ht="15" hidden="false" customHeight="true" outlineLevel="0" collapsed="false">
      <c r="A48" s="21" t="s">
        <v>1535</v>
      </c>
      <c r="B48" s="21" t="s">
        <v>1562</v>
      </c>
      <c r="C48" s="18" t="s">
        <v>1563</v>
      </c>
      <c r="D48" s="18" t="s">
        <v>1564</v>
      </c>
      <c r="E48" s="21" t="s">
        <v>1565</v>
      </c>
      <c r="F48" s="18" t="s">
        <v>1566</v>
      </c>
      <c r="G48" s="18" t="s">
        <v>1390</v>
      </c>
    </row>
    <row r="49" customFormat="false" ht="15" hidden="false" customHeight="true" outlineLevel="0" collapsed="false">
      <c r="A49" s="21" t="s">
        <v>1535</v>
      </c>
      <c r="B49" s="21" t="s">
        <v>1562</v>
      </c>
      <c r="C49" s="18" t="s">
        <v>1567</v>
      </c>
      <c r="D49" s="18" t="s">
        <v>1568</v>
      </c>
      <c r="E49" s="21" t="s">
        <v>1569</v>
      </c>
      <c r="F49" s="21" t="s">
        <v>1570</v>
      </c>
      <c r="G49" s="18" t="s">
        <v>838</v>
      </c>
    </row>
    <row r="50" customFormat="false" ht="15" hidden="false" customHeight="true" outlineLevel="0" collapsed="false">
      <c r="A50" s="21" t="s">
        <v>1535</v>
      </c>
      <c r="B50" s="21" t="s">
        <v>1562</v>
      </c>
      <c r="C50" s="18" t="s">
        <v>1571</v>
      </c>
      <c r="D50" s="21" t="s">
        <v>1572</v>
      </c>
      <c r="E50" s="21" t="s">
        <v>1573</v>
      </c>
      <c r="F50" s="18" t="s">
        <v>1574</v>
      </c>
      <c r="G50" s="18" t="s">
        <v>1390</v>
      </c>
    </row>
    <row r="51" customFormat="false" ht="15" hidden="false" customHeight="true" outlineLevel="0" collapsed="false">
      <c r="A51" s="21" t="s">
        <v>1535</v>
      </c>
      <c r="B51" s="21" t="s">
        <v>1562</v>
      </c>
      <c r="C51" s="21" t="s">
        <v>1575</v>
      </c>
      <c r="D51" s="18" t="s">
        <v>1576</v>
      </c>
      <c r="E51" s="18" t="s">
        <v>1577</v>
      </c>
      <c r="F51" s="18" t="s">
        <v>1578</v>
      </c>
      <c r="G51" s="18" t="s">
        <v>1390</v>
      </c>
    </row>
    <row r="52" customFormat="false" ht="15" hidden="false" customHeight="true" outlineLevel="0" collapsed="false">
      <c r="A52" s="21" t="s">
        <v>1535</v>
      </c>
      <c r="B52" s="21" t="s">
        <v>1562</v>
      </c>
      <c r="C52" s="21" t="s">
        <v>1579</v>
      </c>
      <c r="D52" s="18" t="s">
        <v>1580</v>
      </c>
      <c r="E52" s="21" t="s">
        <v>1581</v>
      </c>
      <c r="F52" s="21" t="s">
        <v>1582</v>
      </c>
      <c r="G52" s="18" t="s">
        <v>438</v>
      </c>
    </row>
    <row r="53" customFormat="false" ht="15" hidden="false" customHeight="true" outlineLevel="0" collapsed="false">
      <c r="A53" s="21" t="s">
        <v>1535</v>
      </c>
      <c r="B53" s="21" t="s">
        <v>1562</v>
      </c>
      <c r="C53" s="18" t="s">
        <v>1583</v>
      </c>
      <c r="D53" s="18" t="s">
        <v>1584</v>
      </c>
      <c r="E53" s="18" t="s">
        <v>1585</v>
      </c>
      <c r="F53" s="21" t="s">
        <v>1586</v>
      </c>
      <c r="G53" s="18" t="s">
        <v>1390</v>
      </c>
    </row>
    <row r="54" customFormat="false" ht="15" hidden="false" customHeight="true" outlineLevel="0" collapsed="false">
      <c r="A54" s="21" t="s">
        <v>1535</v>
      </c>
      <c r="B54" s="21" t="s">
        <v>1562</v>
      </c>
      <c r="C54" s="18" t="s">
        <v>1587</v>
      </c>
      <c r="D54" s="18" t="s">
        <v>124</v>
      </c>
      <c r="E54" s="18" t="s">
        <v>1588</v>
      </c>
      <c r="F54" s="21" t="s">
        <v>1589</v>
      </c>
      <c r="G54" s="18" t="s">
        <v>1390</v>
      </c>
    </row>
    <row r="55" customFormat="false" ht="15" hidden="false" customHeight="true" outlineLevel="0" collapsed="false">
      <c r="A55" s="21" t="s">
        <v>1535</v>
      </c>
      <c r="B55" s="21" t="s">
        <v>1536</v>
      </c>
      <c r="C55" s="18" t="s">
        <v>1590</v>
      </c>
      <c r="D55" s="18" t="s">
        <v>1591</v>
      </c>
      <c r="E55" s="21" t="s">
        <v>1592</v>
      </c>
      <c r="F55" s="21" t="s">
        <v>1593</v>
      </c>
      <c r="G55" s="18" t="s">
        <v>1390</v>
      </c>
    </row>
    <row r="56" customFormat="false" ht="15" hidden="false" customHeight="true" outlineLevel="0" collapsed="false">
      <c r="A56" s="21" t="s">
        <v>1535</v>
      </c>
      <c r="B56" s="21" t="s">
        <v>1536</v>
      </c>
      <c r="C56" s="21" t="s">
        <v>1594</v>
      </c>
      <c r="D56" s="18" t="s">
        <v>1595</v>
      </c>
      <c r="E56" s="21" t="s">
        <v>1596</v>
      </c>
      <c r="F56" s="18" t="s">
        <v>1597</v>
      </c>
      <c r="G56" s="18" t="s">
        <v>1390</v>
      </c>
    </row>
    <row r="57" customFormat="false" ht="15" hidden="false" customHeight="true" outlineLevel="0" collapsed="false">
      <c r="A57" s="21" t="s">
        <v>1535</v>
      </c>
      <c r="B57" s="21" t="s">
        <v>1536</v>
      </c>
      <c r="C57" s="18" t="s">
        <v>1598</v>
      </c>
      <c r="D57" s="18" t="s">
        <v>124</v>
      </c>
      <c r="E57" s="18" t="s">
        <v>1599</v>
      </c>
      <c r="F57" s="18" t="s">
        <v>1600</v>
      </c>
      <c r="G57" s="18" t="s">
        <v>1390</v>
      </c>
    </row>
    <row r="58" customFormat="false" ht="15" hidden="false" customHeight="true" outlineLevel="0" collapsed="false">
      <c r="A58" s="21" t="s">
        <v>1601</v>
      </c>
      <c r="B58" s="21" t="s">
        <v>1602</v>
      </c>
      <c r="C58" s="18" t="s">
        <v>1603</v>
      </c>
      <c r="D58" s="21" t="s">
        <v>1604</v>
      </c>
      <c r="E58" s="21" t="s">
        <v>1605</v>
      </c>
      <c r="F58" s="18" t="s">
        <v>1606</v>
      </c>
      <c r="G58" s="18" t="s">
        <v>438</v>
      </c>
    </row>
    <row r="59" customFormat="false" ht="15" hidden="false" customHeight="true" outlineLevel="0" collapsed="false">
      <c r="A59" s="21" t="s">
        <v>1601</v>
      </c>
      <c r="B59" s="21" t="s">
        <v>1602</v>
      </c>
      <c r="C59" s="21" t="s">
        <v>1523</v>
      </c>
      <c r="D59" s="21" t="s">
        <v>1607</v>
      </c>
      <c r="E59" s="21" t="s">
        <v>1608</v>
      </c>
      <c r="F59" s="18" t="s">
        <v>1609</v>
      </c>
      <c r="G59" s="18" t="s">
        <v>1395</v>
      </c>
    </row>
    <row r="60" customFormat="false" ht="15" hidden="false" customHeight="true" outlineLevel="0" collapsed="false">
      <c r="A60" s="21" t="s">
        <v>1601</v>
      </c>
      <c r="B60" s="21" t="s">
        <v>1602</v>
      </c>
      <c r="C60" s="18" t="s">
        <v>1610</v>
      </c>
      <c r="D60" s="18" t="s">
        <v>124</v>
      </c>
      <c r="E60" s="21" t="s">
        <v>1611</v>
      </c>
      <c r="F60" s="21" t="s">
        <v>1612</v>
      </c>
      <c r="G60" s="18" t="s">
        <v>438</v>
      </c>
    </row>
    <row r="61" customFormat="false" ht="15" hidden="false" customHeight="true" outlineLevel="0" collapsed="false">
      <c r="A61" s="21" t="s">
        <v>1601</v>
      </c>
      <c r="B61" s="21" t="s">
        <v>1602</v>
      </c>
      <c r="C61" s="18" t="s">
        <v>1493</v>
      </c>
      <c r="D61" s="18" t="s">
        <v>1613</v>
      </c>
      <c r="E61" s="18" t="s">
        <v>1614</v>
      </c>
      <c r="F61" s="18" t="s">
        <v>1531</v>
      </c>
      <c r="G61" s="18" t="s">
        <v>1395</v>
      </c>
    </row>
    <row r="62" customFormat="false" ht="15" hidden="false" customHeight="true" outlineLevel="0" collapsed="false">
      <c r="A62" s="21" t="s">
        <v>1601</v>
      </c>
      <c r="B62" s="21" t="s">
        <v>1602</v>
      </c>
      <c r="C62" s="21" t="s">
        <v>291</v>
      </c>
      <c r="D62" s="18" t="s">
        <v>1615</v>
      </c>
      <c r="E62" s="21" t="s">
        <v>1616</v>
      </c>
      <c r="F62" s="18" t="s">
        <v>124</v>
      </c>
      <c r="G62" s="18" t="s">
        <v>1395</v>
      </c>
    </row>
    <row r="63" customFormat="false" ht="15" hidden="false" customHeight="true" outlineLevel="0" collapsed="false">
      <c r="A63" s="21" t="s">
        <v>1601</v>
      </c>
      <c r="B63" s="21" t="s">
        <v>1617</v>
      </c>
      <c r="C63" s="18" t="s">
        <v>1618</v>
      </c>
      <c r="D63" s="18" t="s">
        <v>1619</v>
      </c>
      <c r="E63" s="21" t="s">
        <v>1620</v>
      </c>
      <c r="F63" s="18" t="s">
        <v>1621</v>
      </c>
      <c r="G63" s="18" t="s">
        <v>1390</v>
      </c>
    </row>
    <row r="64" customFormat="false" ht="15" hidden="false" customHeight="true" outlineLevel="0" collapsed="false">
      <c r="A64" s="21" t="s">
        <v>1601</v>
      </c>
      <c r="B64" s="21" t="s">
        <v>1617</v>
      </c>
      <c r="C64" s="21" t="s">
        <v>1622</v>
      </c>
      <c r="D64" s="18" t="s">
        <v>124</v>
      </c>
      <c r="E64" s="21" t="s">
        <v>1623</v>
      </c>
      <c r="F64" s="18" t="s">
        <v>1624</v>
      </c>
      <c r="G64" s="18" t="s">
        <v>1390</v>
      </c>
    </row>
    <row r="65" customFormat="false" ht="15" hidden="false" customHeight="true" outlineLevel="0" collapsed="false">
      <c r="A65" s="21" t="s">
        <v>1601</v>
      </c>
      <c r="B65" s="21" t="s">
        <v>1617</v>
      </c>
      <c r="C65" s="21" t="s">
        <v>1625</v>
      </c>
      <c r="D65" s="18" t="s">
        <v>124</v>
      </c>
      <c r="E65" s="21" t="s">
        <v>1626</v>
      </c>
      <c r="F65" s="21" t="s">
        <v>1627</v>
      </c>
      <c r="G65" s="18" t="s">
        <v>1390</v>
      </c>
    </row>
    <row r="66" customFormat="false" ht="15" hidden="false" customHeight="true" outlineLevel="0" collapsed="false">
      <c r="A66" s="21" t="s">
        <v>1601</v>
      </c>
      <c r="B66" s="21" t="s">
        <v>1617</v>
      </c>
      <c r="C66" s="18" t="s">
        <v>1628</v>
      </c>
      <c r="D66" s="18" t="s">
        <v>1629</v>
      </c>
      <c r="E66" s="21" t="s">
        <v>1630</v>
      </c>
      <c r="F66" s="18" t="s">
        <v>1631</v>
      </c>
      <c r="G66" s="18" t="s">
        <v>1390</v>
      </c>
    </row>
    <row r="67" customFormat="false" ht="15" hidden="false" customHeight="true" outlineLevel="0" collapsed="false">
      <c r="A67" s="21" t="s">
        <v>1601</v>
      </c>
      <c r="B67" s="21" t="s">
        <v>1617</v>
      </c>
      <c r="C67" s="18" t="s">
        <v>1464</v>
      </c>
      <c r="D67" s="21" t="s">
        <v>1632</v>
      </c>
      <c r="E67" s="21" t="s">
        <v>1633</v>
      </c>
      <c r="F67" s="18" t="s">
        <v>1634</v>
      </c>
      <c r="G67" s="18" t="s">
        <v>1390</v>
      </c>
    </row>
    <row r="68" customFormat="false" ht="15" hidden="false" customHeight="true" outlineLevel="0" collapsed="false">
      <c r="A68" s="21" t="s">
        <v>1601</v>
      </c>
      <c r="B68" s="21" t="s">
        <v>1617</v>
      </c>
      <c r="C68" s="18" t="s">
        <v>1635</v>
      </c>
      <c r="D68" s="18" t="s">
        <v>1636</v>
      </c>
      <c r="E68" s="21" t="s">
        <v>1637</v>
      </c>
      <c r="F68" s="18" t="s">
        <v>1638</v>
      </c>
      <c r="G68" s="18" t="s">
        <v>1390</v>
      </c>
    </row>
    <row r="69" customFormat="false" ht="15" hidden="false" customHeight="true" outlineLevel="0" collapsed="false">
      <c r="A69" s="21" t="s">
        <v>1639</v>
      </c>
      <c r="B69" s="21" t="s">
        <v>1617</v>
      </c>
      <c r="C69" s="18" t="s">
        <v>1640</v>
      </c>
      <c r="D69" s="18" t="s">
        <v>1641</v>
      </c>
      <c r="E69" s="21" t="s">
        <v>1642</v>
      </c>
      <c r="F69" s="18" t="s">
        <v>1643</v>
      </c>
      <c r="G69" s="18" t="s">
        <v>1390</v>
      </c>
    </row>
    <row r="71" customFormat="false" ht="15" hidden="false" customHeight="true" outlineLevel="0" collapsed="false">
      <c r="A71" s="13" t="s">
        <v>1644</v>
      </c>
      <c r="B71" s="18"/>
    </row>
    <row r="72" customFormat="false" ht="15" hidden="false" customHeight="true" outlineLevel="0" collapsed="false">
      <c r="A72" s="18" t="n">
        <v>1</v>
      </c>
      <c r="B72" s="18" t="s">
        <v>1645</v>
      </c>
      <c r="C72" s="18"/>
      <c r="D72" s="18"/>
      <c r="E72" s="18"/>
      <c r="F72" s="18"/>
      <c r="G72" s="18"/>
    </row>
    <row r="73" customFormat="false" ht="15" hidden="false" customHeight="true" outlineLevel="0" collapsed="false">
      <c r="A73" s="18" t="n">
        <v>2</v>
      </c>
      <c r="B73" s="18" t="s">
        <v>1646</v>
      </c>
      <c r="C73" s="18"/>
      <c r="D73" s="18"/>
      <c r="E73" s="18"/>
      <c r="F73" s="18"/>
      <c r="G73" s="18"/>
    </row>
    <row r="74" customFormat="false" ht="15" hidden="false" customHeight="true" outlineLevel="0" collapsed="false">
      <c r="A74" s="18" t="n">
        <v>3</v>
      </c>
      <c r="B74" s="18" t="s">
        <v>1647</v>
      </c>
      <c r="C74" s="18"/>
      <c r="D74" s="18"/>
      <c r="E74" s="18"/>
      <c r="F74" s="18"/>
      <c r="G74" s="18"/>
    </row>
    <row r="75" customFormat="false" ht="15" hidden="false" customHeight="true" outlineLevel="0" collapsed="false">
      <c r="A75" s="18" t="n">
        <v>4</v>
      </c>
      <c r="B75" s="18" t="s">
        <v>1648</v>
      </c>
      <c r="C75" s="18"/>
      <c r="D75" s="18"/>
      <c r="E75" s="18"/>
      <c r="F75" s="18"/>
      <c r="G75" s="18"/>
    </row>
    <row r="76" customFormat="false" ht="15" hidden="false" customHeight="true" outlineLevel="0" collapsed="false">
      <c r="A76" s="18" t="n">
        <v>5</v>
      </c>
      <c r="B76" s="21" t="s">
        <v>1649</v>
      </c>
      <c r="C76" s="21"/>
      <c r="D76" s="21"/>
      <c r="E76" s="21"/>
      <c r="F76" s="21"/>
      <c r="G76" s="21"/>
    </row>
  </sheetData>
  <mergeCells count="5">
    <mergeCell ref="B72:G72"/>
    <mergeCell ref="B73:G73"/>
    <mergeCell ref="B74:G74"/>
    <mergeCell ref="B75:G75"/>
    <mergeCell ref="B76:G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view="normal" topLeftCell="A1" zoomScale="100" zoomScaleNormal="100" zoomScalePageLayoutView="100" workbookViewId="0">
      <selection pane="top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0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1650</v>
      </c>
    </row>
    <row r="2" customFormat="false" ht="102.75" hidden="false" customHeight="true" outlineLevel="0" collapsed="false">
      <c r="A2" s="51" t="s">
        <v>1651</v>
      </c>
    </row>
    <row r="4" customFormat="false" ht="15" hidden="false" customHeight="true" outlineLevel="0" collapsed="false">
      <c r="A4" s="13" t="s">
        <v>1381</v>
      </c>
      <c r="B4" s="13" t="s">
        <v>1652</v>
      </c>
      <c r="C4" s="13" t="s">
        <v>1653</v>
      </c>
    </row>
    <row r="5" customFormat="false" ht="15" hidden="false" customHeight="true" outlineLevel="0" collapsed="false">
      <c r="A5" s="21" t="s">
        <v>1654</v>
      </c>
      <c r="B5" s="18" t="s">
        <v>1655</v>
      </c>
      <c r="C5" s="18" t="s">
        <v>1656</v>
      </c>
    </row>
    <row r="6" customFormat="false" ht="26.25" hidden="false" customHeight="true" outlineLevel="0" collapsed="false">
      <c r="A6" s="21" t="s">
        <v>1384</v>
      </c>
      <c r="B6" s="18" t="s">
        <v>1657</v>
      </c>
      <c r="C6" s="18" t="s">
        <v>1658</v>
      </c>
    </row>
    <row r="7" customFormat="false" ht="15" hidden="false" customHeight="true" outlineLevel="0" collapsed="false">
      <c r="A7" s="21" t="s">
        <v>1384</v>
      </c>
      <c r="B7" s="18" t="s">
        <v>1659</v>
      </c>
      <c r="C7" s="18" t="s">
        <v>1660</v>
      </c>
    </row>
    <row r="8" customFormat="false" ht="26.25" hidden="false" customHeight="true" outlineLevel="0" collapsed="false">
      <c r="A8" s="21" t="s">
        <v>1384</v>
      </c>
      <c r="B8" s="18" t="s">
        <v>1661</v>
      </c>
      <c r="C8" s="18" t="s">
        <v>1662</v>
      </c>
    </row>
    <row r="9" customFormat="false" ht="26.25" hidden="false" customHeight="true" outlineLevel="0" collapsed="false">
      <c r="A9" s="21" t="s">
        <v>1427</v>
      </c>
      <c r="B9" s="18" t="s">
        <v>1663</v>
      </c>
      <c r="C9" s="18" t="s">
        <v>1664</v>
      </c>
    </row>
    <row r="10" customFormat="false" ht="26.25" hidden="false" customHeight="true" outlineLevel="0" collapsed="false">
      <c r="A10" s="21" t="s">
        <v>1427</v>
      </c>
      <c r="B10" s="18" t="s">
        <v>1665</v>
      </c>
      <c r="C10" s="18" t="s">
        <v>1666</v>
      </c>
    </row>
    <row r="11" customFormat="false" ht="26.25" hidden="false" customHeight="true" outlineLevel="0" collapsed="false">
      <c r="A11" s="21" t="s">
        <v>1427</v>
      </c>
      <c r="B11" s="18" t="s">
        <v>1667</v>
      </c>
      <c r="C11" s="18" t="s">
        <v>1668</v>
      </c>
    </row>
    <row r="12" customFormat="false" ht="15" hidden="false" customHeight="true" outlineLevel="0" collapsed="false">
      <c r="A12" s="21" t="s">
        <v>1472</v>
      </c>
      <c r="B12" s="18" t="s">
        <v>1669</v>
      </c>
      <c r="C12" s="18" t="s">
        <v>1670</v>
      </c>
    </row>
    <row r="13" customFormat="false" ht="26.25" hidden="false" customHeight="true" outlineLevel="0" collapsed="false">
      <c r="A13" s="21" t="s">
        <v>1472</v>
      </c>
      <c r="B13" s="18" t="s">
        <v>1671</v>
      </c>
      <c r="C13" s="18" t="s">
        <v>1666</v>
      </c>
    </row>
    <row r="14" customFormat="false" ht="42" hidden="false" customHeight="true" outlineLevel="0" collapsed="false">
      <c r="A14" s="21" t="s">
        <v>1513</v>
      </c>
      <c r="B14" s="18" t="s">
        <v>1672</v>
      </c>
      <c r="C14" s="18" t="s">
        <v>1673</v>
      </c>
    </row>
    <row r="15" customFormat="false" ht="42" hidden="false" customHeight="true" outlineLevel="0" collapsed="false">
      <c r="A15" s="21" t="s">
        <v>1535</v>
      </c>
      <c r="B15" s="18" t="s">
        <v>1674</v>
      </c>
      <c r="C15" s="18" t="s">
        <v>1675</v>
      </c>
    </row>
    <row r="16" customFormat="false" ht="42" hidden="false" customHeight="true" outlineLevel="0" collapsed="false">
      <c r="A16" s="21" t="s">
        <v>1535</v>
      </c>
      <c r="B16" s="18" t="s">
        <v>1676</v>
      </c>
      <c r="C16" s="18" t="s">
        <v>1675</v>
      </c>
    </row>
    <row r="17" customFormat="false" ht="42" hidden="false" customHeight="true" outlineLevel="0" collapsed="false">
      <c r="A17" s="21" t="s">
        <v>1535</v>
      </c>
      <c r="B17" s="18" t="s">
        <v>1677</v>
      </c>
      <c r="C17" s="18" t="s">
        <v>1675</v>
      </c>
    </row>
    <row r="18" customFormat="false" ht="42" hidden="false" customHeight="true" outlineLevel="0" collapsed="false">
      <c r="A18" s="21" t="s">
        <v>1535</v>
      </c>
      <c r="B18" s="18" t="s">
        <v>1678</v>
      </c>
      <c r="C18" s="18" t="s">
        <v>1675</v>
      </c>
    </row>
    <row r="19" customFormat="false" ht="42" hidden="false" customHeight="true" outlineLevel="0" collapsed="false">
      <c r="A19" s="21" t="s">
        <v>1535</v>
      </c>
      <c r="B19" s="18" t="s">
        <v>1679</v>
      </c>
      <c r="C19" s="18" t="s">
        <v>1680</v>
      </c>
    </row>
    <row r="20" customFormat="false" ht="42" hidden="false" customHeight="true" outlineLevel="0" collapsed="false">
      <c r="A20" s="21" t="s">
        <v>1601</v>
      </c>
      <c r="B20" s="18" t="s">
        <v>1681</v>
      </c>
      <c r="C20" s="18" t="s">
        <v>1682</v>
      </c>
    </row>
    <row r="21" customFormat="false" ht="42" hidden="false" customHeight="true" outlineLevel="0" collapsed="false">
      <c r="A21" s="21" t="s">
        <v>1601</v>
      </c>
      <c r="B21" s="18" t="s">
        <v>1683</v>
      </c>
      <c r="C21" s="18" t="s">
        <v>1684</v>
      </c>
    </row>
    <row r="22" customFormat="false" ht="42" hidden="false" customHeight="true" outlineLevel="0" collapsed="false">
      <c r="A22" s="21" t="s">
        <v>1601</v>
      </c>
      <c r="B22" s="18" t="s">
        <v>1685</v>
      </c>
      <c r="C22" s="18" t="s">
        <v>1686</v>
      </c>
    </row>
    <row r="23" customFormat="false" ht="42" hidden="false" customHeight="true" outlineLevel="0" collapsed="false">
      <c r="A23" s="21" t="s">
        <v>1639</v>
      </c>
      <c r="B23" s="18" t="s">
        <v>1687</v>
      </c>
      <c r="C23" s="18" t="s">
        <v>1675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2026-10-03T20:48:13Z</dcterms:created>
  <dc:creator/>
  <dc:description/>
  <dc:language>zh-CN</dc:language>
  <cp:lastModifiedBy/>
  <dcterms:modified xsi:type="dcterms:W3CDTF">2026-10-28T17:46:06Z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